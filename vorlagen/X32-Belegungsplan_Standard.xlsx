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Übersicht" sheetId="1" state="visible" r:id="rId3"/>
    <sheet name="Bühnenaufbau" sheetId="2" state="visible" r:id="rId4"/>
    <sheet name="Checklis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<sst xmlns="http://schemas.openxmlformats.org/spreadsheetml/2006/main" count="192" uniqueCount="154">
  <si>
    <t xml:space="preserve">INPUTS</t>
  </si>
  <si>
    <t xml:space="preserve">OUTPUTS</t>
  </si>
  <si>
    <t xml:space="preserve">Stagebox 1</t>
  </si>
  <si>
    <t xml:space="preserve">Stagebox 2</t>
  </si>
  <si>
    <t xml:space="preserve">MIXER</t>
  </si>
  <si>
    <t xml:space="preserve">Routing</t>
  </si>
  <si>
    <t xml:space="preserve">ROUTING</t>
  </si>
  <si>
    <t xml:space="preserve">IN</t>
  </si>
  <si>
    <t xml:space="preserve">OUT</t>
  </si>
  <si>
    <t xml:space="preserve">CH</t>
  </si>
  <si>
    <t xml:space="preserve">Bezeichung</t>
  </si>
  <si>
    <t xml:space="preserve">FOH</t>
  </si>
  <si>
    <t xml:space="preserve">SB 1</t>
  </si>
  <si>
    <t xml:space="preserve">SB 2</t>
  </si>
  <si>
    <t xml:space="preserve">Mikrofon</t>
  </si>
  <si>
    <t xml:space="preserve">Kommentar</t>
  </si>
  <si>
    <t xml:space="preserve">Bezeichnung</t>
  </si>
  <si>
    <t xml:space="preserve">Mikrofonierung</t>
  </si>
  <si>
    <t xml:space="preserve">Monitor</t>
  </si>
  <si>
    <t xml:space="preserve">Vocal</t>
  </si>
  <si>
    <t xml:space="preserve">Voc1</t>
  </si>
  <si>
    <t xml:space="preserve">Output 1</t>
  </si>
  <si>
    <t xml:space="preserve">Name1</t>
  </si>
  <si>
    <t xml:space="preserve">Mix 1</t>
  </si>
  <si>
    <t xml:space="preserve">Voc2</t>
  </si>
  <si>
    <t xml:space="preserve">Output 2</t>
  </si>
  <si>
    <t xml:space="preserve">Name2</t>
  </si>
  <si>
    <t xml:space="preserve">Mix 2</t>
  </si>
  <si>
    <t xml:space="preserve">Voc3</t>
  </si>
  <si>
    <t xml:space="preserve">Output 3</t>
  </si>
  <si>
    <t xml:space="preserve">Name3</t>
  </si>
  <si>
    <t xml:space="preserve">Mix 3</t>
  </si>
  <si>
    <t xml:space="preserve">DI-Box</t>
  </si>
  <si>
    <t xml:space="preserve">Voc4</t>
  </si>
  <si>
    <t xml:space="preserve">Output 4</t>
  </si>
  <si>
    <t xml:space="preserve">Name4</t>
  </si>
  <si>
    <t xml:space="preserve">Mix 4</t>
  </si>
  <si>
    <t xml:space="preserve">Voc5</t>
  </si>
  <si>
    <t xml:space="preserve">Output 5</t>
  </si>
  <si>
    <t xml:space="preserve">Mix 5</t>
  </si>
  <si>
    <t xml:space="preserve">Keys</t>
  </si>
  <si>
    <t xml:space="preserve">Synth L</t>
  </si>
  <si>
    <t xml:space="preserve">Output 6</t>
  </si>
  <si>
    <t xml:space="preserve">Übertragung</t>
  </si>
  <si>
    <t xml:space="preserve">Mix 6</t>
  </si>
  <si>
    <t xml:space="preserve">Synth R</t>
  </si>
  <si>
    <t xml:space="preserve">Output 7</t>
  </si>
  <si>
    <t xml:space="preserve">Main L</t>
  </si>
  <si>
    <t xml:space="preserve">Piano/Pad L</t>
  </si>
  <si>
    <t xml:space="preserve">Output 8</t>
  </si>
  <si>
    <t xml:space="preserve">Piano/Pad R</t>
  </si>
  <si>
    <t xml:space="preserve">Output 9</t>
  </si>
  <si>
    <t xml:space="preserve">Name5</t>
  </si>
  <si>
    <t xml:space="preserve">Mix 7</t>
  </si>
  <si>
    <t xml:space="preserve">Gitarre</t>
  </si>
  <si>
    <t xml:space="preserve">Bass</t>
  </si>
  <si>
    <t xml:space="preserve">Output 10</t>
  </si>
  <si>
    <t xml:space="preserve">Name6</t>
  </si>
  <si>
    <t xml:space="preserve">Mix 8</t>
  </si>
  <si>
    <t xml:space="preserve">A-Git</t>
  </si>
  <si>
    <t xml:space="preserve">Output 11</t>
  </si>
  <si>
    <t xml:space="preserve">Name7</t>
  </si>
  <si>
    <t xml:space="preserve">Mix 9</t>
  </si>
  <si>
    <t xml:space="preserve">E-Git L</t>
  </si>
  <si>
    <t xml:space="preserve">Output 12</t>
  </si>
  <si>
    <t xml:space="preserve">Name8</t>
  </si>
  <si>
    <t xml:space="preserve">Mix 10</t>
  </si>
  <si>
    <t xml:space="preserve">E-Git R</t>
  </si>
  <si>
    <t xml:space="preserve">Output 13</t>
  </si>
  <si>
    <t xml:space="preserve">Mix 11</t>
  </si>
  <si>
    <t xml:space="preserve">Solo</t>
  </si>
  <si>
    <t xml:space="preserve">Geige</t>
  </si>
  <si>
    <t xml:space="preserve">Output 14</t>
  </si>
  <si>
    <t xml:space="preserve">Mix 12</t>
  </si>
  <si>
    <t xml:space="preserve">Bratsche</t>
  </si>
  <si>
    <t xml:space="preserve">Output 15</t>
  </si>
  <si>
    <t xml:space="preserve">Main R</t>
  </si>
  <si>
    <t xml:space="preserve">MC</t>
  </si>
  <si>
    <t xml:space="preserve">Funk 1</t>
  </si>
  <si>
    <t xml:space="preserve">Output 16</t>
  </si>
  <si>
    <t xml:space="preserve">Funk 2</t>
  </si>
  <si>
    <t xml:space="preserve">Aux 1</t>
  </si>
  <si>
    <t xml:space="preserve">Recording L</t>
  </si>
  <si>
    <t xml:space="preserve">Matrix 1</t>
  </si>
  <si>
    <t xml:space="preserve">L/R geroutet</t>
  </si>
  <si>
    <t xml:space="preserve">Headset</t>
  </si>
  <si>
    <t xml:space="preserve">Aux 2</t>
  </si>
  <si>
    <t xml:space="preserve">Recording R</t>
  </si>
  <si>
    <t xml:space="preserve">Matrix 2</t>
  </si>
  <si>
    <t xml:space="preserve">Drums</t>
  </si>
  <si>
    <t xml:space="preserve">Base (Kick)</t>
  </si>
  <si>
    <t xml:space="preserve">Shure Beta 91</t>
  </si>
  <si>
    <t xml:space="preserve">Aux 3</t>
  </si>
  <si>
    <t xml:space="preserve">Base (Boom)</t>
  </si>
  <si>
    <t xml:space="preserve">Audix D6</t>
  </si>
  <si>
    <t xml:space="preserve">Aux 4</t>
  </si>
  <si>
    <t xml:space="preserve">Snare oben</t>
  </si>
  <si>
    <t xml:space="preserve">Beyerdynamic</t>
  </si>
  <si>
    <t xml:space="preserve">Aux 5</t>
  </si>
  <si>
    <t xml:space="preserve">Snare unten</t>
  </si>
  <si>
    <t xml:space="preserve">Aux 6</t>
  </si>
  <si>
    <t xml:space="preserve">Matrix 6</t>
  </si>
  <si>
    <t xml:space="preserve">HiHat</t>
  </si>
  <si>
    <t xml:space="preserve">Sennheiser bf541</t>
  </si>
  <si>
    <t xml:space="preserve">Tom klein</t>
  </si>
  <si>
    <t xml:space="preserve">Audix D2</t>
  </si>
  <si>
    <t xml:space="preserve">Tom mittel</t>
  </si>
  <si>
    <t xml:space="preserve">Audix D4</t>
  </si>
  <si>
    <t xml:space="preserve">Tom groß</t>
  </si>
  <si>
    <t xml:space="preserve">OH links</t>
  </si>
  <si>
    <t xml:space="preserve">AKG OH</t>
  </si>
  <si>
    <t xml:space="preserve">OH rechts</t>
  </si>
  <si>
    <t xml:space="preserve">Sonstiges</t>
  </si>
  <si>
    <t xml:space="preserve">Klick</t>
  </si>
  <si>
    <t xml:space="preserve">Track</t>
  </si>
  <si>
    <t xml:space="preserve"> </t>
  </si>
  <si>
    <t xml:space="preserve">Track Klick</t>
  </si>
  <si>
    <t xml:space="preserve">Saal</t>
  </si>
  <si>
    <t xml:space="preserve">MD</t>
  </si>
  <si>
    <t xml:space="preserve">Teamspeak</t>
  </si>
  <si>
    <t xml:space="preserve">Beamer</t>
  </si>
  <si>
    <t xml:space="preserve">MP3</t>
  </si>
  <si>
    <t xml:space="preserve">Summe der Kanäle</t>
  </si>
  <si>
    <t xml:space="preserve">Aufbau-Checkliste</t>
  </si>
  <si>
    <t xml:space="preserve">Einer:</t>
  </si>
  <si>
    <t xml:space="preserve">Alles aufschließen</t>
  </si>
  <si>
    <t xml:space="preserve">Mindestens jeweils zu zweit:</t>
  </si>
  <si>
    <t xml:space="preserve">Stühle raus</t>
  </si>
  <si>
    <t xml:space="preserve">Bühne runter</t>
  </si>
  <si>
    <t xml:space="preserve">Matten holen + 2 Matten auslegen</t>
  </si>
  <si>
    <t xml:space="preserve">Stageboxen verteilen</t>
  </si>
  <si>
    <t xml:space="preserve">Tieftöner holen und aufstellen</t>
  </si>
  <si>
    <t xml:space="preserve">Mischpult und rack holen</t>
  </si>
  <si>
    <t xml:space="preserve">Podeste für Schlagzeug (gemeinsam mit Drummer)</t>
  </si>
  <si>
    <t xml:space="preserve">Jeweils einer allein, der für folgende Aufgaben 
jeweils den Überblick behält. (ggf. Hilfe holen für schwere Sachen):</t>
  </si>
  <si>
    <t xml:space="preserve">Lautsprecher und großes Case mit 3 Tischen und 4 Absperrungen holen Stative holen</t>
  </si>
  <si>
    <t xml:space="preserve">PA aufbauen</t>
  </si>
  <si>
    <t xml:space="preserve">Übersetzungsanlage auf PA (falls wenig Zeit ist, weglassen)</t>
  </si>
  <si>
    <t xml:space="preserve">Strom verteilen</t>
  </si>
  <si>
    <t xml:space="preserve">Lan verteilen</t>
  </si>
  <si>
    <t xml:space="preserve">(auf Bühne und bis Pult) </t>
  </si>
  <si>
    <t xml:space="preserve">Mikrofonständer (können ggf. Musiker holen)</t>
  </si>
  <si>
    <t xml:space="preserve">Mikrofone</t>
  </si>
  <si>
    <t xml:space="preserve">Xlr Kabel</t>
  </si>
  <si>
    <t xml:space="preserve">Instrumentständer (können ggf. Musiker holen)</t>
  </si>
  <si>
    <t xml:space="preserve">Ggf. Piano, Synthi, Bassamp, Käseecke</t>
  </si>
  <si>
    <t xml:space="preserve">Klinkekabel + DI + XLR</t>
  </si>
  <si>
    <t xml:space="preserve">Mischpult aufbauen</t>
  </si>
  <si>
    <t xml:space="preserve">Monitorkabel + FISCHER Amp</t>
  </si>
  <si>
    <t xml:space="preserve">Schlagzeug mikrofonieren</t>
  </si>
  <si>
    <t xml:space="preserve">Ggf. Wand aufstellen (ggf. zu zweit)</t>
  </si>
  <si>
    <t xml:space="preserve">Linecheck</t>
  </si>
  <si>
    <t xml:space="preserve">Monitor einstellen</t>
  </si>
  <si>
    <t xml:space="preserve">Soundcheck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</si>
</sst>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;@"/>
  </numFmts>
  <fonts count="13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0"/>
      <charset val="1"/>
    </font>
    <font>
      <sz val="12"/>
      <color theme="0"/>
      <name val="Calibri"/>
      <family val="0"/>
      <charset val="1"/>
    </font>
    <font>
      <i val="true"/>
      <sz val="12"/>
      <color theme="1"/>
      <name val="Calibri"/>
      <family val="0"/>
      <charset val="1"/>
    </font>
    <font>
      <b val="true"/>
      <i val="true"/>
      <sz val="12"/>
      <color theme="1"/>
      <name val="Calibri"/>
      <family val="0"/>
      <charset val="1"/>
    </font>
    <font>
      <sz val="12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1"/>
      <name val="Calibri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FFFCC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medium"/>
      <right style="thin">
        <color theme="0"/>
      </right>
      <top style="medium"/>
      <bottom/>
      <diagonal/>
    </border>
    <border diagonalUp="false" diagonalDown="false">
      <left style="thin">
        <color theme="0"/>
      </left>
      <right style="thin">
        <color theme="0"/>
      </right>
      <top style="medium"/>
      <bottom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>
        <color theme="0"/>
      </right>
      <top style="medium"/>
      <bottom/>
      <diagonal/>
    </border>
    <border diagonalUp="false" diagonalDown="false">
      <left style="medium"/>
      <right style="thin">
        <color theme="0"/>
      </right>
      <top/>
      <bottom style="medium"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>
        <color theme="0"/>
      </right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>
        <color theme="0"/>
      </right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medium"/>
      <bottom style="thin">
        <color theme="0" tint="-0.5"/>
      </bottom>
      <diagonal/>
    </border>
    <border diagonalUp="false" diagonalDown="false">
      <left style="thin">
        <color theme="0" tint="-0.5"/>
      </left>
      <right style="medium"/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medium"/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thin">
        <color theme="0" tint="-0.5"/>
      </left>
      <right style="medium"/>
      <top/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>
        <color theme="1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>
        <color theme="0" tint="-0.5"/>
      </right>
      <top style="thin">
        <color theme="0" tint="-0.5"/>
      </top>
      <bottom style="medium"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medium"/>
      <diagonal/>
    </border>
    <border diagonalUp="false" diagonalDown="false">
      <left style="thin">
        <color theme="0" tint="-0.5"/>
      </left>
      <right style="medium"/>
      <top style="thin">
        <color theme="0" tint="-0.5"/>
      </top>
      <bottom style="medium"/>
      <diagonal/>
    </border>
    <border diagonalUp="false" diagonalDown="false">
      <left style="thin">
        <color theme="0" tint="-0.5"/>
      </left>
      <right style="thin">
        <color theme="0" tint="-0.5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/>
      <top/>
      <bottom/>
      <diagonal/>
    </border>
    <border diagonalUp="false" diagonalDown="false">
      <left style="medium"/>
      <right style="thin">
        <color theme="0" tint="-0.5"/>
      </right>
      <top style="medium"/>
      <bottom style="thin">
        <color theme="0" tint="-0.5"/>
      </bottom>
      <diagonal/>
    </border>
    <border diagonalUp="false" diagonalDown="false">
      <left style="thin">
        <color theme="0" tint="-0.5"/>
      </left>
      <right style="medium"/>
      <top style="medium"/>
      <bottom style="thin">
        <color theme="0" tint="-0.5"/>
      </bottom>
      <diagonal/>
    </border>
    <border diagonalUp="false" diagonalDown="false">
      <left style="medium"/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 style="medium"/>
      <top style="thin">
        <color theme="0" tint="-0.5"/>
      </top>
      <bottom/>
      <diagonal/>
    </border>
    <border diagonalUp="false" diagonalDown="false">
      <left style="medium"/>
      <right style="thin">
        <color theme="0" tint="-0.5"/>
      </right>
      <top style="medium"/>
      <bottom/>
      <diagonal/>
    </border>
    <border diagonalUp="false" diagonalDown="false">
      <left style="medium"/>
      <right style="thin">
        <color theme="0" tint="-0.5"/>
      </right>
      <top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3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8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5" fontId="0" fillId="0" borderId="27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4" fontId="6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3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25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3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3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4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3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3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4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4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4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4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2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5" fontId="0" fillId="0" borderId="43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49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2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5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25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5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5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5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5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5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4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D1" colorId="64" zoomScale="113" zoomScaleNormal="113" zoomScalePageLayoutView="100" workbookViewId="0">
      <selection pane="topLeft" activeCell="I18" activeCellId="0" sqref="I18"/>
    </sheetView>
  </sheetViews>
  <sheetFormatPr defaultColWidth="10.83203125" defaultRowHeight="16.5" customHeight="false" zeroHeight="false" outlineLevelRow="0" outlineLevelCol="0"/>
  <cols>
    <col collapsed="false" customWidth="true" hidden="false" outlineLevel="0" max="1" min="1" style="1" width="3.83"/>
    <col collapsed="false" customWidth="true" hidden="false" outlineLevel="0" max="2" min="2" style="1" width="4.83"/>
    <col collapsed="false" customWidth="true" hidden="false" outlineLevel="0" max="3" min="3" style="1" width="35.16"/>
    <col collapsed="false" customWidth="true" hidden="false" outlineLevel="0" max="4" min="4" style="1" width="5"/>
    <col collapsed="false" customWidth="true" hidden="false" outlineLevel="0" max="5" min="5" style="1" width="4.66"/>
    <col collapsed="false" customWidth="true" hidden="false" outlineLevel="0" max="6" min="6" style="1" width="4.16"/>
    <col collapsed="false" customWidth="true" hidden="false" outlineLevel="0" max="7" min="7" style="1" width="4.5"/>
    <col collapsed="false" customWidth="true" hidden="false" outlineLevel="0" max="8" min="8" style="1" width="28.5"/>
    <col collapsed="false" customWidth="true" hidden="false" outlineLevel="0" max="9" min="9" style="1" width="9.66"/>
    <col collapsed="false" customWidth="true" hidden="false" outlineLevel="0" max="10" min="10" style="1" width="32.51"/>
    <col collapsed="false" customWidth="true" hidden="false" outlineLevel="0" max="11" min="11" style="1" width="8.16"/>
    <col collapsed="false" customWidth="true" hidden="false" outlineLevel="0" max="12" min="12" style="1" width="4.83"/>
    <col collapsed="false" customWidth="true" hidden="false" outlineLevel="0" max="14" min="13" style="1" width="4.16"/>
    <col collapsed="false" customWidth="true" hidden="false" outlineLevel="0" max="15" min="15" style="1" width="29"/>
    <col collapsed="false" customWidth="true" hidden="true" outlineLevel="0" max="16" min="16" style="1" width="0.16"/>
    <col collapsed="false" customWidth="true" hidden="false" outlineLevel="0" max="17" min="17" style="1" width="4.5"/>
    <col collapsed="false" customWidth="true" hidden="false" outlineLevel="0" max="18" min="18" style="1" width="28.16"/>
    <col collapsed="false" customWidth="true" hidden="false" outlineLevel="0" max="19" min="19" style="1" width="21.83"/>
    <col collapsed="false" customWidth="true" hidden="true" outlineLevel="0" max="20" min="20" style="1" width="11.83"/>
    <col collapsed="false" customWidth="true" hidden="false" outlineLevel="0" max="21" min="21" style="1" width="5.5"/>
    <col collapsed="false" customWidth="true" hidden="false" outlineLevel="0" max="22" min="22" style="2" width="31"/>
    <col collapsed="false" customWidth="true" hidden="true" outlineLevel="0" max="23" min="23" style="1" width="12.66"/>
    <col collapsed="false" customWidth="true" hidden="false" outlineLevel="0" max="24" min="24" style="2" width="4.5"/>
    <col collapsed="false" customWidth="true" hidden="false" outlineLevel="0" max="25" min="25" style="3" width="28.16"/>
    <col collapsed="false" customWidth="true" hidden="false" outlineLevel="0" max="26" min="26" style="3" width="21.83"/>
    <col collapsed="false" customWidth="true" hidden="true" outlineLevel="0" max="27" min="27" style="3" width="6.16"/>
    <col collapsed="false" customWidth="true" hidden="false" outlineLevel="0" max="28" min="28" style="2" width="5.5"/>
    <col collapsed="false" customWidth="true" hidden="false" outlineLevel="0" max="29" min="29" style="2" width="31.16"/>
  </cols>
  <sheetData>
    <row r="1" customFormat="false" ht="24.45" hidden="false" customHeight="false" outlineLevel="0" collapsed="false">
      <c r="B1" s="4" t="s">
        <v>0</v>
      </c>
      <c r="C1" s="4"/>
      <c r="D1" s="4"/>
      <c r="E1" s="4"/>
      <c r="F1" s="4"/>
      <c r="G1" s="4"/>
      <c r="H1" s="4"/>
      <c r="I1" s="4" t="s">
        <v>1</v>
      </c>
      <c r="J1" s="4"/>
      <c r="K1" s="4"/>
      <c r="L1" s="4"/>
      <c r="M1" s="4"/>
      <c r="N1" s="4"/>
      <c r="O1" s="4"/>
      <c r="P1" s="5"/>
      <c r="Q1" s="4" t="s">
        <v>2</v>
      </c>
      <c r="R1" s="4"/>
      <c r="S1" s="4"/>
      <c r="T1" s="4"/>
      <c r="U1" s="4"/>
      <c r="V1" s="4"/>
      <c r="W1" s="5"/>
      <c r="X1" s="4" t="s">
        <v>3</v>
      </c>
      <c r="Y1" s="4"/>
      <c r="Z1" s="4"/>
      <c r="AA1" s="4"/>
      <c r="AB1" s="4"/>
      <c r="AC1" s="4"/>
    </row>
    <row r="3" customFormat="false" ht="16.5" hidden="false" customHeight="false" outlineLevel="0" collapsed="false">
      <c r="A3" s="6" t="s">
        <v>4</v>
      </c>
      <c r="B3" s="6"/>
      <c r="C3" s="7"/>
      <c r="D3" s="8" t="s">
        <v>5</v>
      </c>
      <c r="E3" s="8"/>
      <c r="F3" s="8"/>
      <c r="G3" s="8"/>
      <c r="H3" s="9"/>
      <c r="I3" s="6" t="s">
        <v>6</v>
      </c>
      <c r="J3" s="10"/>
      <c r="K3" s="8" t="s">
        <v>5</v>
      </c>
      <c r="L3" s="8"/>
      <c r="M3" s="8"/>
      <c r="N3" s="8"/>
      <c r="O3" s="11"/>
      <c r="Q3" s="6" t="s">
        <v>7</v>
      </c>
      <c r="R3" s="7"/>
      <c r="S3" s="7"/>
      <c r="T3" s="12"/>
      <c r="U3" s="13" t="s">
        <v>8</v>
      </c>
      <c r="V3" s="14"/>
      <c r="X3" s="6" t="s">
        <v>7</v>
      </c>
      <c r="Y3" s="7"/>
      <c r="Z3" s="7"/>
      <c r="AA3" s="12"/>
      <c r="AB3" s="13" t="s">
        <v>8</v>
      </c>
      <c r="AC3" s="14"/>
    </row>
    <row r="4" customFormat="false" ht="16.5" hidden="false" customHeight="false" outlineLevel="0" collapsed="false">
      <c r="A4" s="15" t="s">
        <v>9</v>
      </c>
      <c r="B4" s="15"/>
      <c r="C4" s="16" t="s">
        <v>10</v>
      </c>
      <c r="D4" s="16" t="s">
        <v>9</v>
      </c>
      <c r="E4" s="16" t="s">
        <v>11</v>
      </c>
      <c r="F4" s="16" t="s">
        <v>12</v>
      </c>
      <c r="G4" s="16" t="s">
        <v>13</v>
      </c>
      <c r="H4" s="17" t="s">
        <v>14</v>
      </c>
      <c r="I4" s="18" t="s">
        <v>9</v>
      </c>
      <c r="J4" s="16" t="s">
        <v>10</v>
      </c>
      <c r="K4" s="19" t="s">
        <v>9</v>
      </c>
      <c r="L4" s="19" t="s">
        <v>11</v>
      </c>
      <c r="M4" s="19" t="s">
        <v>12</v>
      </c>
      <c r="N4" s="19" t="s">
        <v>13</v>
      </c>
      <c r="O4" s="17" t="s">
        <v>15</v>
      </c>
      <c r="P4" s="20"/>
      <c r="Q4" s="15" t="s">
        <v>9</v>
      </c>
      <c r="R4" s="21" t="s">
        <v>16</v>
      </c>
      <c r="S4" s="21" t="s">
        <v>17</v>
      </c>
      <c r="T4" s="22"/>
      <c r="U4" s="23" t="s">
        <v>9</v>
      </c>
      <c r="V4" s="24" t="s">
        <v>18</v>
      </c>
      <c r="W4" s="20"/>
      <c r="X4" s="15" t="s">
        <v>9</v>
      </c>
      <c r="Y4" s="21" t="s">
        <v>16</v>
      </c>
      <c r="Z4" s="21" t="s">
        <v>17</v>
      </c>
      <c r="AA4" s="25"/>
      <c r="AB4" s="23" t="s">
        <v>9</v>
      </c>
      <c r="AC4" s="24" t="s">
        <v>18</v>
      </c>
    </row>
    <row r="5" customFormat="false" ht="16.5" hidden="false" customHeight="false" outlineLevel="0" collapsed="false">
      <c r="A5" s="26" t="s">
        <v>19</v>
      </c>
      <c r="B5" s="27" t="n">
        <v>1</v>
      </c>
      <c r="C5" s="28" t="s">
        <v>20</v>
      </c>
      <c r="D5" s="29" t="str">
        <f aca="false">IF(E5&lt;&gt;"","In"&amp;E5,IF(F5&lt;&gt;"","A"&amp;F5,IF(G5&lt;&gt;"","A"&amp;G5+16,"")))</f>
        <v>A1</v>
      </c>
      <c r="E5" s="30"/>
      <c r="F5" s="30" t="n">
        <v>1</v>
      </c>
      <c r="G5" s="30"/>
      <c r="H5" s="31"/>
      <c r="I5" s="32" t="s">
        <v>21</v>
      </c>
      <c r="J5" s="33" t="s">
        <v>22</v>
      </c>
      <c r="K5" s="34" t="s">
        <v>23</v>
      </c>
      <c r="L5" s="35"/>
      <c r="M5" s="35" t="n">
        <v>1</v>
      </c>
      <c r="N5" s="35"/>
      <c r="O5" s="36"/>
      <c r="P5" s="37" t="n">
        <f aca="false">MATCH(Q5,F$5:F$38,)</f>
        <v>1</v>
      </c>
      <c r="Q5" s="38" t="n">
        <v>1</v>
      </c>
      <c r="R5" s="39" t="str">
        <f aca="true">IF(ISNUMBER(P5)=TRUE(),INDIRECT("C"&amp;P5+4)," ")</f>
        <v>Voc1</v>
      </c>
      <c r="S5" s="40" t="n">
        <f aca="true">IF(ISNUMBER(P5)=TRUE(),INDIRECT("H"&amp;P5+4)," ")</f>
        <v>0</v>
      </c>
      <c r="T5" s="1" t="n">
        <f aca="false">MATCH(U5,M$5:M$28,)</f>
        <v>1</v>
      </c>
      <c r="U5" s="41" t="n">
        <f aca="false">IF(M5&lt;&gt;"",M5,"")</f>
        <v>1</v>
      </c>
      <c r="V5" s="42" t="str">
        <f aca="true">IF(ISNUMBER(T5)=TRUE(),INDIRECT("J"&amp;T5+4)," ")</f>
        <v>Name1</v>
      </c>
      <c r="W5" s="1" t="n">
        <f aca="false">MATCH(X5,G$5:G$38,)</f>
        <v>3</v>
      </c>
      <c r="X5" s="41" t="n">
        <v>1</v>
      </c>
      <c r="Y5" s="43" t="str">
        <f aca="true">IF(ISNUMBER(W5)=TRUE(),INDIRECT("C"&amp;W5+4)," ")</f>
        <v>Voc3</v>
      </c>
      <c r="Z5" s="44" t="n">
        <f aca="true">IF(ISNUMBER(W5)=TRUE(),INDIRECT("H"&amp;W5+4)," ")</f>
        <v>0</v>
      </c>
      <c r="AA5" s="3" t="n">
        <f aca="false">MATCH(AB5,N$5:N$28,)</f>
        <v>9</v>
      </c>
      <c r="AB5" s="41" t="n">
        <v>1</v>
      </c>
      <c r="AC5" s="42" t="str">
        <f aca="true">IF(ISNUMBER(AA5)=TRUE(),INDIRECT("J"&amp;AA5+4)," ")</f>
        <v>Name5</v>
      </c>
    </row>
    <row r="6" customFormat="false" ht="16.5" hidden="false" customHeight="false" outlineLevel="0" collapsed="false">
      <c r="A6" s="26"/>
      <c r="B6" s="45" t="n">
        <v>2</v>
      </c>
      <c r="C6" s="46" t="s">
        <v>24</v>
      </c>
      <c r="D6" s="47" t="str">
        <f aca="false">IF(E6&lt;&gt;"","In"&amp;E6,IF(F6&lt;&gt;"","A"&amp;F6,IF(G6&lt;&gt;"","A"&amp;G6+16,"")))</f>
        <v>A2</v>
      </c>
      <c r="E6" s="48"/>
      <c r="F6" s="49" t="n">
        <v>2</v>
      </c>
      <c r="G6" s="49"/>
      <c r="H6" s="31"/>
      <c r="I6" s="32" t="s">
        <v>25</v>
      </c>
      <c r="J6" s="1" t="s">
        <v>26</v>
      </c>
      <c r="K6" s="50" t="s">
        <v>27</v>
      </c>
      <c r="L6" s="51"/>
      <c r="M6" s="51" t="n">
        <v>2</v>
      </c>
      <c r="N6" s="51"/>
      <c r="O6" s="36"/>
      <c r="P6" s="37" t="n">
        <f aca="false">MATCH(Q6,F$5:F$38,)</f>
        <v>2</v>
      </c>
      <c r="Q6" s="38" t="n">
        <v>2</v>
      </c>
      <c r="R6" s="39" t="str">
        <f aca="true">IF(ISNUMBER(P6)=TRUE(),INDIRECT("C"&amp;P6+4)," ")</f>
        <v>Voc2</v>
      </c>
      <c r="S6" s="40" t="n">
        <f aca="true">IF(ISNUMBER(P6)=TRUE(),INDIRECT("H"&amp;P6+4)," ")</f>
        <v>0</v>
      </c>
      <c r="T6" s="1" t="n">
        <f aca="false">MATCH(U6,M$5:M$28,)</f>
        <v>2</v>
      </c>
      <c r="U6" s="38" t="n">
        <f aca="false">IF(M6&lt;&gt;"",M6,"")</f>
        <v>2</v>
      </c>
      <c r="V6" s="36" t="str">
        <f aca="true">IF(ISNUMBER(T6)=TRUE(),INDIRECT("J"&amp;T6+4)," ")</f>
        <v>Name2</v>
      </c>
      <c r="W6" s="1" t="n">
        <f aca="false">MATCH(X6,G$5:G$38,)</f>
        <v>4</v>
      </c>
      <c r="X6" s="38" t="n">
        <v>2</v>
      </c>
      <c r="Y6" s="52" t="str">
        <f aca="true">IF(ISNUMBER(W6)=TRUE(),INDIRECT("C"&amp;W6+4)," ")</f>
        <v>Voc4</v>
      </c>
      <c r="Z6" s="44" t="n">
        <f aca="true">IF(ISNUMBER(W6)=TRUE(),INDIRECT("H"&amp;W6+4)," ")</f>
        <v>0</v>
      </c>
      <c r="AA6" s="3" t="n">
        <f aca="false">MATCH(AB6,N$5:N$28,)</f>
        <v>10</v>
      </c>
      <c r="AB6" s="38" t="n">
        <v>2</v>
      </c>
      <c r="AC6" s="36" t="str">
        <f aca="true">IF(ISNUMBER(AA6)=TRUE(),INDIRECT("J"&amp;AA6+4)," ")</f>
        <v>Name6</v>
      </c>
    </row>
    <row r="7" customFormat="false" ht="16.5" hidden="false" customHeight="false" outlineLevel="0" collapsed="false">
      <c r="A7" s="26"/>
      <c r="B7" s="45" t="n">
        <v>3</v>
      </c>
      <c r="C7" s="46" t="s">
        <v>28</v>
      </c>
      <c r="D7" s="47" t="str">
        <f aca="false">IF(E7&lt;&gt;"","In"&amp;E7,IF(F7&lt;&gt;"","A"&amp;F7,IF(G7&lt;&gt;"","A"&amp;G7+16,"")))</f>
        <v>A17</v>
      </c>
      <c r="E7" s="48"/>
      <c r="F7" s="49"/>
      <c r="G7" s="49" t="n">
        <v>1</v>
      </c>
      <c r="H7" s="31"/>
      <c r="I7" s="32" t="s">
        <v>29</v>
      </c>
      <c r="J7" s="53" t="s">
        <v>30</v>
      </c>
      <c r="K7" s="50" t="s">
        <v>31</v>
      </c>
      <c r="L7" s="51"/>
      <c r="M7" s="51" t="n">
        <v>3</v>
      </c>
      <c r="N7" s="51"/>
      <c r="O7" s="36"/>
      <c r="P7" s="37" t="n">
        <f aca="false">MATCH(Q7,F$5:F$38,)</f>
        <v>6</v>
      </c>
      <c r="Q7" s="38" t="n">
        <v>3</v>
      </c>
      <c r="R7" s="39" t="str">
        <f aca="true">IF(ISNUMBER(P7)=TRUE(),INDIRECT("C"&amp;P7+4)," ")</f>
        <v>Synth L</v>
      </c>
      <c r="S7" s="40" t="str">
        <f aca="true">IF(ISNUMBER(P7)=TRUE(),INDIRECT("H"&amp;P7+4)," ")</f>
        <v>DI-Box</v>
      </c>
      <c r="T7" s="1" t="n">
        <f aca="false">MATCH(U7,M$5:M$28,)</f>
        <v>3</v>
      </c>
      <c r="U7" s="38" t="n">
        <f aca="false">IF(M7&lt;&gt;"",M7,"")</f>
        <v>3</v>
      </c>
      <c r="V7" s="36" t="str">
        <f aca="true">IF(ISNUMBER(T7)=TRUE(),INDIRECT("J"&amp;T7+4)," ")</f>
        <v>Name3</v>
      </c>
      <c r="W7" s="1" t="e">
        <f aca="false">MATCH(X7,G$5:G$38,)</f>
        <v>#N/A</v>
      </c>
      <c r="X7" s="38" t="n">
        <v>3</v>
      </c>
      <c r="Y7" s="52" t="str">
        <f aca="true">IF(ISNUMBER(W7)=TRUE(),INDIRECT("C"&amp;W7+4)," ")</f>
        <v> </v>
      </c>
      <c r="Z7" s="54" t="s">
        <v>32</v>
      </c>
      <c r="AA7" s="3" t="n">
        <f aca="false">MATCH(AB7,N$5:N$28,)</f>
        <v>11</v>
      </c>
      <c r="AB7" s="38" t="n">
        <v>3</v>
      </c>
      <c r="AC7" s="36" t="str">
        <f aca="true">IF(ISNUMBER(AA7)=TRUE(),INDIRECT("J"&amp;AA7+4)," ")</f>
        <v>Name7</v>
      </c>
    </row>
    <row r="8" customFormat="false" ht="16.5" hidden="false" customHeight="false" outlineLevel="0" collapsed="false">
      <c r="A8" s="26"/>
      <c r="B8" s="45" t="n">
        <v>4</v>
      </c>
      <c r="C8" s="28" t="s">
        <v>33</v>
      </c>
      <c r="D8" s="55" t="str">
        <f aca="false">IF(E8&lt;&gt;"","In"&amp;E8,IF(F8&lt;&gt;"","A"&amp;F8,IF(G8&lt;&gt;"","A"&amp;G8+16,"")))</f>
        <v>A18</v>
      </c>
      <c r="E8" s="49"/>
      <c r="F8" s="49"/>
      <c r="G8" s="49" t="n">
        <v>2</v>
      </c>
      <c r="H8" s="31"/>
      <c r="I8" s="32" t="s">
        <v>34</v>
      </c>
      <c r="J8" s="1" t="s">
        <v>35</v>
      </c>
      <c r="K8" s="50" t="s">
        <v>36</v>
      </c>
      <c r="L8" s="51"/>
      <c r="M8" s="51" t="n">
        <v>4</v>
      </c>
      <c r="N8" s="51"/>
      <c r="O8" s="36"/>
      <c r="P8" s="37" t="n">
        <f aca="false">MATCH(Q8,F$5:F$38,)</f>
        <v>7</v>
      </c>
      <c r="Q8" s="38" t="n">
        <v>4</v>
      </c>
      <c r="R8" s="39" t="str">
        <f aca="true">IF(ISNUMBER(P8)=TRUE(),INDIRECT("C"&amp;P8+4)," ")</f>
        <v>Synth R</v>
      </c>
      <c r="S8" s="40" t="str">
        <f aca="true">IF(ISNUMBER(P8)=TRUE(),INDIRECT("H"&amp;P8+4)," ")</f>
        <v>DI-Box</v>
      </c>
      <c r="T8" s="1" t="n">
        <f aca="false">MATCH(U8,M$5:M$28,)</f>
        <v>4</v>
      </c>
      <c r="U8" s="38" t="n">
        <f aca="false">IF(M8&lt;&gt;"",M8,"")</f>
        <v>4</v>
      </c>
      <c r="V8" s="36" t="str">
        <f aca="true">IF(ISNUMBER(T8)=TRUE(),INDIRECT("J"&amp;T8+4)," ")</f>
        <v>Name4</v>
      </c>
      <c r="W8" s="1" t="e">
        <f aca="false">MATCH(X8,G$5:G$38,)</f>
        <v>#N/A</v>
      </c>
      <c r="X8" s="38" t="n">
        <v>4</v>
      </c>
      <c r="Y8" s="52" t="str">
        <f aca="true">IF(ISNUMBER(W8)=TRUE(),INDIRECT("C"&amp;W8+4)," ")</f>
        <v> </v>
      </c>
      <c r="Z8" s="54" t="str">
        <f aca="true">IF(ISNUMBER(W8)=TRUE(),INDIRECT("H"&amp;W8+4)," ")</f>
        <v> </v>
      </c>
      <c r="AA8" s="3" t="e">
        <f aca="false">MATCH(AB8,N$5:N$28,)</f>
        <v>#N/A</v>
      </c>
      <c r="AB8" s="38" t="n">
        <v>4</v>
      </c>
      <c r="AC8" s="36" t="str">
        <f aca="true">IF(ISNUMBER(AA8)=TRUE(),INDIRECT("J"&amp;AA8+4)," ")</f>
        <v> </v>
      </c>
    </row>
    <row r="9" customFormat="false" ht="16.5" hidden="false" customHeight="false" outlineLevel="0" collapsed="false">
      <c r="A9" s="26"/>
      <c r="B9" s="56" t="n">
        <v>5</v>
      </c>
      <c r="C9" s="57" t="s">
        <v>37</v>
      </c>
      <c r="D9" s="55" t="str">
        <f aca="false">IF(E9&lt;&gt;"","In"&amp;E9,IF(F9&lt;&gt;"","A"&amp;F9,IF(G9&lt;&gt;"","A"&amp;G9+16,"")))</f>
        <v/>
      </c>
      <c r="E9" s="58"/>
      <c r="F9" s="58"/>
      <c r="G9" s="58"/>
      <c r="H9" s="59"/>
      <c r="I9" s="32" t="s">
        <v>38</v>
      </c>
      <c r="J9" s="53"/>
      <c r="K9" s="50" t="s">
        <v>39</v>
      </c>
      <c r="L9" s="51"/>
      <c r="M9" s="51"/>
      <c r="N9" s="51"/>
      <c r="O9" s="36"/>
      <c r="P9" s="37" t="n">
        <f aca="false">MATCH(Q9,F$5:F$38,)</f>
        <v>8</v>
      </c>
      <c r="Q9" s="38" t="n">
        <v>5</v>
      </c>
      <c r="R9" s="39" t="str">
        <f aca="true">IF(ISNUMBER(P9)=TRUE(),INDIRECT("C"&amp;P9+4)," ")</f>
        <v>Piano/Pad L</v>
      </c>
      <c r="S9" s="40" t="str">
        <f aca="true">IF(ISNUMBER(P9)=TRUE(),INDIRECT("H"&amp;P9+4)," ")</f>
        <v>DI-Box</v>
      </c>
      <c r="T9" s="1" t="e">
        <f aca="false">MATCH(U9,M$5:M$28,)</f>
        <v>#N/A</v>
      </c>
      <c r="U9" s="38" t="n">
        <v>5</v>
      </c>
      <c r="V9" s="36" t="str">
        <f aca="true">IF(ISNUMBER(T9)=TRUE(),INDIRECT("J"&amp;T9+4)," ")</f>
        <v> </v>
      </c>
      <c r="W9" s="1" t="n">
        <f aca="false">MATCH(X9,G$5:G$38,)</f>
        <v>19</v>
      </c>
      <c r="X9" s="38" t="n">
        <v>5</v>
      </c>
      <c r="Y9" s="52" t="str">
        <f aca="true">IF(ISNUMBER(W9)=TRUE(),INDIRECT("C"&amp;W9+4)," ")</f>
        <v>Base (Kick)</v>
      </c>
      <c r="Z9" s="54" t="str">
        <f aca="true">IF(ISNUMBER(W9)=TRUE(),INDIRECT("H"&amp;W9+4)," ")</f>
        <v>Shure Beta 91</v>
      </c>
      <c r="AA9" s="3" t="e">
        <f aca="false">MATCH(AB9,N$5:N$28,)</f>
        <v>#N/A</v>
      </c>
      <c r="AB9" s="38" t="n">
        <v>5</v>
      </c>
      <c r="AC9" s="36" t="str">
        <f aca="true">IF(ISNUMBER(AA9)=TRUE(),INDIRECT("J"&amp;AA9+4)," ")</f>
        <v> </v>
      </c>
    </row>
    <row r="10" customFormat="false" ht="15.5" hidden="false" customHeight="true" outlineLevel="0" collapsed="false">
      <c r="A10" s="60" t="s">
        <v>40</v>
      </c>
      <c r="B10" s="27" t="n">
        <v>6</v>
      </c>
      <c r="C10" s="33" t="s">
        <v>41</v>
      </c>
      <c r="D10" s="29" t="str">
        <f aca="false">IF(E10&lt;&gt;"","In"&amp;E10,IF(F10&lt;&gt;"","A"&amp;F10,IF(G10&lt;&gt;"","A"&amp;G10+16,"")))</f>
        <v>A3</v>
      </c>
      <c r="E10" s="30"/>
      <c r="F10" s="30" t="n">
        <v>3</v>
      </c>
      <c r="G10" s="30"/>
      <c r="H10" s="61" t="s">
        <v>32</v>
      </c>
      <c r="I10" s="32" t="s">
        <v>42</v>
      </c>
      <c r="J10" s="53" t="s">
        <v>43</v>
      </c>
      <c r="K10" s="50" t="s">
        <v>44</v>
      </c>
      <c r="L10" s="51"/>
      <c r="M10" s="51" t="n">
        <v>6</v>
      </c>
      <c r="N10" s="51"/>
      <c r="O10" s="36"/>
      <c r="P10" s="37" t="n">
        <f aca="false">MATCH(Q10,F$5:F$38,)</f>
        <v>9</v>
      </c>
      <c r="Q10" s="38" t="n">
        <v>6</v>
      </c>
      <c r="R10" s="39" t="str">
        <f aca="true">IF(ISNUMBER(P10)=TRUE(),INDIRECT("C"&amp;P10+4)," ")</f>
        <v>Piano/Pad R</v>
      </c>
      <c r="S10" s="40" t="str">
        <f aca="true">IF(ISNUMBER(P10)=TRUE(),INDIRECT("H"&amp;P10+4)," ")</f>
        <v>DI-Box</v>
      </c>
      <c r="T10" s="1" t="n">
        <f aca="false">MATCH(U10,M$5:M$28,)</f>
        <v>6</v>
      </c>
      <c r="U10" s="38" t="n">
        <f aca="false">IF(M10&lt;&gt;"",M10,"")</f>
        <v>6</v>
      </c>
      <c r="V10" s="36" t="str">
        <f aca="true">IF(ISNUMBER(T10)=TRUE(),INDIRECT("J"&amp;T10+4)," ")</f>
        <v>Übertragung</v>
      </c>
      <c r="W10" s="1" t="n">
        <f aca="false">MATCH(X10,G$5:G$38,)</f>
        <v>20</v>
      </c>
      <c r="X10" s="38" t="n">
        <v>6</v>
      </c>
      <c r="Y10" s="52" t="str">
        <f aca="true">IF(ISNUMBER(W10)=TRUE(),INDIRECT("C"&amp;W10+4)," ")</f>
        <v>Base (Boom)</v>
      </c>
      <c r="Z10" s="54" t="str">
        <f aca="true">IF(ISNUMBER(W10)=TRUE(),INDIRECT("H"&amp;W10+4)," ")</f>
        <v>Audix D6</v>
      </c>
      <c r="AA10" s="3" t="e">
        <f aca="false">MATCH(AB10,N$5:N$28,)</f>
        <v>#N/A</v>
      </c>
      <c r="AB10" s="38" t="n">
        <v>6</v>
      </c>
      <c r="AC10" s="36" t="str">
        <f aca="true">IF(ISNUMBER(AA10)=TRUE(),INDIRECT("J"&amp;AA10+4)," ")</f>
        <v> </v>
      </c>
    </row>
    <row r="11" customFormat="false" ht="15.5" hidden="false" customHeight="true" outlineLevel="0" collapsed="false">
      <c r="A11" s="60"/>
      <c r="B11" s="62" t="n">
        <v>8</v>
      </c>
      <c r="C11" s="63" t="s">
        <v>45</v>
      </c>
      <c r="D11" s="47" t="str">
        <f aca="false">IF(E11&lt;&gt;"","In"&amp;E11,IF(F11&lt;&gt;"","A"&amp;F11,IF(G11&lt;&gt;"","A"&amp;G11+16,"")))</f>
        <v>A4</v>
      </c>
      <c r="E11" s="64"/>
      <c r="F11" s="65" t="n">
        <v>4</v>
      </c>
      <c r="G11" s="65"/>
      <c r="H11" s="66" t="s">
        <v>32</v>
      </c>
      <c r="I11" s="32" t="s">
        <v>46</v>
      </c>
      <c r="J11" s="53" t="s">
        <v>47</v>
      </c>
      <c r="K11" s="50"/>
      <c r="L11" s="51"/>
      <c r="M11" s="51" t="n">
        <v>7</v>
      </c>
      <c r="N11" s="51"/>
      <c r="O11" s="36"/>
      <c r="P11" s="37"/>
      <c r="Q11" s="38" t="n">
        <v>7</v>
      </c>
      <c r="R11" s="39" t="str">
        <f aca="true">IF(ISNUMBER(P12)=TRUE(),INDIRECT("C"&amp;P12+4)," ")</f>
        <v>Bass</v>
      </c>
      <c r="S11" s="40" t="n">
        <f aca="true">IF(ISNUMBER(P12)=TRUE(),INDIRECT("H"&amp;P12+4)," ")</f>
        <v>0</v>
      </c>
      <c r="U11" s="38" t="n">
        <f aca="false">IF(M11&lt;&gt;"",M11,"")</f>
        <v>7</v>
      </c>
      <c r="V11" s="36" t="str">
        <f aca="true">IF(ISNUMBER(T12)=TRUE(),INDIRECT("J"&amp;T12+4)," ")</f>
        <v>Main L</v>
      </c>
      <c r="X11" s="38" t="n">
        <v>7</v>
      </c>
      <c r="Y11" s="52" t="str">
        <f aca="true">IF(ISNUMBER(W12)=TRUE(),INDIRECT("C"&amp;W12+4)," ")</f>
        <v>Snare oben</v>
      </c>
      <c r="Z11" s="54" t="str">
        <f aca="true">IF(ISNUMBER(W12)=TRUE(),INDIRECT("H"&amp;W12+4)," ")</f>
        <v>Beyerdynamic</v>
      </c>
      <c r="AB11" s="38" t="n">
        <v>7</v>
      </c>
      <c r="AC11" s="36" t="str">
        <f aca="true">IF(ISNUMBER(AA12)=TRUE(),INDIRECT("J"&amp;AA12+4)," ")</f>
        <v>Main R</v>
      </c>
    </row>
    <row r="12" customFormat="false" ht="16.5" hidden="false" customHeight="false" outlineLevel="0" collapsed="false">
      <c r="A12" s="60"/>
      <c r="B12" s="45" t="n">
        <v>9</v>
      </c>
      <c r="C12" s="46" t="s">
        <v>48</v>
      </c>
      <c r="D12" s="47" t="str">
        <f aca="false">IF(E12&lt;&gt;"","In"&amp;E12,IF(F12&lt;&gt;"","A"&amp;F12,IF(G12&lt;&gt;"","A"&amp;G12+16,"")))</f>
        <v>A5</v>
      </c>
      <c r="E12" s="48"/>
      <c r="F12" s="49" t="n">
        <v>5</v>
      </c>
      <c r="G12" s="49"/>
      <c r="H12" s="59" t="s">
        <v>32</v>
      </c>
      <c r="I12" s="67" t="s">
        <v>49</v>
      </c>
      <c r="J12" s="68" t="s">
        <v>47</v>
      </c>
      <c r="K12" s="69"/>
      <c r="L12" s="70"/>
      <c r="M12" s="70" t="n">
        <v>8</v>
      </c>
      <c r="N12" s="70"/>
      <c r="O12" s="71"/>
      <c r="P12" s="37" t="n">
        <f aca="false">MATCH(Q11,F$5:F$38,)</f>
        <v>10</v>
      </c>
      <c r="Q12" s="38" t="n">
        <v>8</v>
      </c>
      <c r="R12" s="39" t="str">
        <f aca="true">IF(ISNUMBER(P13)=TRUE(),INDIRECT("C"&amp;P13+4)," ")</f>
        <v>A-Git</v>
      </c>
      <c r="S12" s="40" t="str">
        <f aca="true">IF(ISNUMBER(P13)=TRUE(),INDIRECT("H"&amp;P13+4)," ")</f>
        <v>DI-Box</v>
      </c>
      <c r="T12" s="1" t="n">
        <f aca="false">MATCH(U11,M$5:M$28,)</f>
        <v>7</v>
      </c>
      <c r="U12" s="72" t="n">
        <f aca="false">IF(M12&lt;&gt;"",M12,"")</f>
        <v>8</v>
      </c>
      <c r="V12" s="71" t="str">
        <f aca="true">IF(ISNUMBER(T13)=TRUE(),INDIRECT("J"&amp;T13+4)," ")</f>
        <v>Main L</v>
      </c>
      <c r="W12" s="1" t="n">
        <f aca="false">MATCH(X11,G$5:G$38,)</f>
        <v>21</v>
      </c>
      <c r="X12" s="38" t="n">
        <v>8</v>
      </c>
      <c r="Y12" s="52" t="str">
        <f aca="true">IF(ISNUMBER(W13)=TRUE(),INDIRECT("C"&amp;W13+4)," ")</f>
        <v>Snare unten</v>
      </c>
      <c r="Z12" s="54" t="n">
        <f aca="true">IF(ISNUMBER(W13)=TRUE(),INDIRECT("H"&amp;W13+4)," ")</f>
        <v>0</v>
      </c>
      <c r="AA12" s="3" t="n">
        <f aca="false">MATCH(AB11,N$5:N$28,)</f>
        <v>15</v>
      </c>
      <c r="AB12" s="72" t="n">
        <v>8</v>
      </c>
      <c r="AC12" s="71" t="str">
        <f aca="true">IF(ISNUMBER(AA13)=TRUE(),INDIRECT("J"&amp;AA13+4)," ")</f>
        <v>Main R</v>
      </c>
    </row>
    <row r="13" customFormat="false" ht="16.5" hidden="false" customHeight="true" outlineLevel="0" collapsed="false">
      <c r="A13" s="60"/>
      <c r="B13" s="56" t="n">
        <v>10</v>
      </c>
      <c r="C13" s="73" t="s">
        <v>50</v>
      </c>
      <c r="D13" s="55" t="str">
        <f aca="false">IF(E13&lt;&gt;"","In"&amp;E13,IF(F13&lt;&gt;"","A"&amp;F13,IF(G13&lt;&gt;"","A"&amp;G13+16,"")))</f>
        <v>A6</v>
      </c>
      <c r="E13" s="58"/>
      <c r="F13" s="58" t="n">
        <v>6</v>
      </c>
      <c r="G13" s="58"/>
      <c r="H13" s="59" t="s">
        <v>32</v>
      </c>
      <c r="I13" s="32" t="s">
        <v>51</v>
      </c>
      <c r="J13" s="74" t="s">
        <v>52</v>
      </c>
      <c r="K13" s="34" t="s">
        <v>53</v>
      </c>
      <c r="L13" s="35"/>
      <c r="M13" s="35"/>
      <c r="N13" s="35" t="n">
        <v>1</v>
      </c>
      <c r="O13" s="36"/>
      <c r="P13" s="37" t="n">
        <f aca="false">MATCH(Q12,F$5:F$38,)</f>
        <v>11</v>
      </c>
      <c r="Q13" s="38" t="n">
        <v>9</v>
      </c>
      <c r="R13" s="39" t="str">
        <f aca="true">IF(ISNUMBER(P14)=TRUE(),INDIRECT("C"&amp;P14+4)," ")</f>
        <v>E-Git L</v>
      </c>
      <c r="S13" s="40" t="n">
        <f aca="true">IF(ISNUMBER(P14)=TRUE(),INDIRECT("H"&amp;P14+4)," ")</f>
        <v>0</v>
      </c>
      <c r="T13" s="1" t="n">
        <f aca="false">MATCH(U12,M$5:M$28,)</f>
        <v>8</v>
      </c>
      <c r="W13" s="1" t="n">
        <f aca="false">MATCH(X12,G$5:G$38,)</f>
        <v>22</v>
      </c>
      <c r="X13" s="38" t="n">
        <v>9</v>
      </c>
      <c r="Y13" s="52" t="str">
        <f aca="true">IF(ISNUMBER(W14)=TRUE(),INDIRECT("C"&amp;W14+4)," ")</f>
        <v>HiHat</v>
      </c>
      <c r="Z13" s="54" t="str">
        <f aca="true">IF(ISNUMBER(W14)=TRUE(),INDIRECT("H"&amp;W14+4)," ")</f>
        <v>Sennheiser bf541</v>
      </c>
      <c r="AA13" s="3" t="n">
        <f aca="false">MATCH(AB12,N$5:N$28,)</f>
        <v>16</v>
      </c>
    </row>
    <row r="14" customFormat="false" ht="16.5" hidden="false" customHeight="false" outlineLevel="0" collapsed="false">
      <c r="A14" s="60" t="s">
        <v>54</v>
      </c>
      <c r="B14" s="62" t="n">
        <v>11</v>
      </c>
      <c r="C14" s="57" t="s">
        <v>55</v>
      </c>
      <c r="D14" s="29" t="str">
        <f aca="false">IF(E14&lt;&gt;"","In"&amp;E14,IF(F14&lt;&gt;"","A"&amp;F14,IF(G14&lt;&gt;"","A"&amp;G14+16,"")))</f>
        <v>A7</v>
      </c>
      <c r="E14" s="65"/>
      <c r="F14" s="65" t="n">
        <v>7</v>
      </c>
      <c r="G14" s="65"/>
      <c r="H14" s="61"/>
      <c r="I14" s="32" t="s">
        <v>56</v>
      </c>
      <c r="J14" s="75" t="s">
        <v>57</v>
      </c>
      <c r="K14" s="50" t="s">
        <v>58</v>
      </c>
      <c r="L14" s="51"/>
      <c r="M14" s="51"/>
      <c r="N14" s="51" t="n">
        <v>2</v>
      </c>
      <c r="O14" s="36"/>
      <c r="P14" s="37" t="n">
        <f aca="false">MATCH(Q13,F$5:F$38,)</f>
        <v>12</v>
      </c>
      <c r="Q14" s="38" t="n">
        <v>10</v>
      </c>
      <c r="R14" s="39" t="str">
        <f aca="true">IF(ISNUMBER(P15)=TRUE(),INDIRECT("C"&amp;P15+4)," ")</f>
        <v>E-Git R</v>
      </c>
      <c r="S14" s="40" t="str">
        <f aca="true">IF(ISNUMBER(P15)=TRUE(),INDIRECT("H"&amp;P15+4)," ")</f>
        <v>DI-Box</v>
      </c>
      <c r="U14" s="1" t="str">
        <f aca="false">IF(M13&lt;&gt;"",M13,"")</f>
        <v/>
      </c>
      <c r="V14" s="2" t="str">
        <f aca="true">IF(ISNUMBER(T14)=TRUE(),INDIRECT("B"&amp;T14+4)," ")</f>
        <v> </v>
      </c>
      <c r="W14" s="1" t="n">
        <f aca="false">MATCH(X13,G$5:G$38,)</f>
        <v>23</v>
      </c>
      <c r="X14" s="38" t="n">
        <v>10</v>
      </c>
      <c r="Y14" s="52" t="str">
        <f aca="true">IF(ISNUMBER(W15)=TRUE(),INDIRECT("C"&amp;W15+4)," ")</f>
        <v>Tom klein</v>
      </c>
      <c r="Z14" s="54" t="str">
        <f aca="true">IF(ISNUMBER(W15)=TRUE(),INDIRECT("H"&amp;W15+4)," ")</f>
        <v>Audix D2</v>
      </c>
    </row>
    <row r="15" customFormat="false" ht="15.5" hidden="false" customHeight="true" outlineLevel="0" collapsed="false">
      <c r="A15" s="60"/>
      <c r="B15" s="45" t="n">
        <v>12</v>
      </c>
      <c r="C15" s="76" t="s">
        <v>59</v>
      </c>
      <c r="D15" s="47" t="str">
        <f aca="false">IF(E15&lt;&gt;"","In"&amp;E15,IF(F15&lt;&gt;"","A"&amp;F15,IF(G15&lt;&gt;"","A"&amp;G15+16,"")))</f>
        <v>A8</v>
      </c>
      <c r="E15" s="48"/>
      <c r="F15" s="49" t="n">
        <v>8</v>
      </c>
      <c r="G15" s="49"/>
      <c r="H15" s="31" t="s">
        <v>32</v>
      </c>
      <c r="I15" s="32" t="s">
        <v>60</v>
      </c>
      <c r="J15" s="53" t="s">
        <v>61</v>
      </c>
      <c r="K15" s="50" t="s">
        <v>62</v>
      </c>
      <c r="L15" s="51"/>
      <c r="M15" s="51"/>
      <c r="N15" s="51" t="n">
        <v>3</v>
      </c>
      <c r="O15" s="36"/>
      <c r="P15" s="37" t="n">
        <f aca="false">MATCH(Q14,F$5:F$38,)</f>
        <v>13</v>
      </c>
      <c r="Q15" s="38" t="n">
        <v>11</v>
      </c>
      <c r="R15" s="39" t="str">
        <f aca="true">IF(ISNUMBER(P17)=TRUE(),INDIRECT("C"&amp;P17+4)," ")</f>
        <v>Geige</v>
      </c>
      <c r="S15" s="40" t="n">
        <f aca="true">IF(ISNUMBER(P17)=TRUE(),INDIRECT("H"&amp;P17+4)," ")</f>
        <v>0</v>
      </c>
      <c r="U15" s="1" t="str">
        <f aca="false">IF(M14&lt;&gt;"",M14,"")</f>
        <v/>
      </c>
      <c r="V15" s="2" t="str">
        <f aca="true">IF(ISNUMBER(T15)=TRUE(),INDIRECT("B"&amp;T15+4)," ")</f>
        <v> </v>
      </c>
      <c r="W15" s="1" t="n">
        <f aca="false">MATCH(X14,G$5:G$38,)</f>
        <v>24</v>
      </c>
      <c r="X15" s="38" t="n">
        <v>11</v>
      </c>
      <c r="Y15" s="52" t="str">
        <f aca="true">IF(ISNUMBER(W17)=TRUE(),INDIRECT("C"&amp;W17+4)," ")</f>
        <v>Tom mittel</v>
      </c>
      <c r="Z15" s="54" t="str">
        <f aca="true">IF(ISNUMBER(W17)=TRUE(),INDIRECT("H"&amp;W17+4)," ")</f>
        <v>Audix D4</v>
      </c>
    </row>
    <row r="16" customFormat="false" ht="15.5" hidden="false" customHeight="true" outlineLevel="0" collapsed="false">
      <c r="A16" s="60"/>
      <c r="B16" s="77" t="n">
        <v>13</v>
      </c>
      <c r="C16" s="28" t="s">
        <v>63</v>
      </c>
      <c r="D16" s="47" t="str">
        <f aca="false">IF(E16&lt;&gt;"","In"&amp;E16,IF(F16&lt;&gt;"","A"&amp;F16,IF(G16&lt;&gt;"","A"&amp;G16+16,"")))</f>
        <v>A9</v>
      </c>
      <c r="E16" s="78"/>
      <c r="F16" s="49" t="n">
        <v>9</v>
      </c>
      <c r="G16" s="79"/>
      <c r="H16" s="31"/>
      <c r="I16" s="32" t="s">
        <v>64</v>
      </c>
      <c r="J16" s="53" t="s">
        <v>65</v>
      </c>
      <c r="K16" s="50" t="s">
        <v>66</v>
      </c>
      <c r="L16" s="51"/>
      <c r="M16" s="51"/>
      <c r="N16" s="51"/>
      <c r="O16" s="36"/>
      <c r="P16" s="37"/>
      <c r="Q16" s="38" t="n">
        <v>12</v>
      </c>
      <c r="R16" s="39" t="str">
        <f aca="true">IF(ISNUMBER(P18)=TRUE(),INDIRECT("C"&amp;P18+4)," ")</f>
        <v>Track</v>
      </c>
      <c r="S16" s="40" t="n">
        <f aca="true">IF(ISNUMBER(P18)=TRUE(),INDIRECT("H"&amp;P18+4)," ")</f>
        <v>0</v>
      </c>
      <c r="X16" s="38" t="n">
        <v>12</v>
      </c>
      <c r="Y16" s="52" t="str">
        <f aca="true">IF(ISNUMBER(W18)=TRUE(),INDIRECT("C"&amp;W18+4)," ")</f>
        <v>Tom groß</v>
      </c>
      <c r="Z16" s="54" t="n">
        <f aca="true">IF(ISNUMBER(W18)=TRUE(),INDIRECT("H"&amp;W18+4)," ")</f>
        <v>0</v>
      </c>
    </row>
    <row r="17" customFormat="false" ht="16.5" hidden="false" customHeight="false" outlineLevel="0" collapsed="false">
      <c r="A17" s="60"/>
      <c r="B17" s="56" t="n">
        <v>14</v>
      </c>
      <c r="C17" s="57" t="s">
        <v>67</v>
      </c>
      <c r="D17" s="55" t="str">
        <f aca="false">IF(E17&lt;&gt;"","In"&amp;E17,IF(F17&lt;&gt;"","A"&amp;F17,IF(G17&lt;&gt;"","A"&amp;G17+16,"")))</f>
        <v>A10</v>
      </c>
      <c r="E17" s="58"/>
      <c r="F17" s="49" t="n">
        <v>10</v>
      </c>
      <c r="G17" s="58"/>
      <c r="H17" s="80" t="s">
        <v>32</v>
      </c>
      <c r="I17" s="32" t="s">
        <v>68</v>
      </c>
      <c r="J17" s="53"/>
      <c r="K17" s="50" t="s">
        <v>69</v>
      </c>
      <c r="L17" s="51"/>
      <c r="M17" s="51"/>
      <c r="N17" s="51"/>
      <c r="O17" s="36"/>
      <c r="P17" s="37" t="n">
        <f aca="false">MATCH(Q15,F$5:F$38,)</f>
        <v>14</v>
      </c>
      <c r="Q17" s="38" t="n">
        <v>13</v>
      </c>
      <c r="R17" s="39" t="str">
        <f aca="true">IF(ISNUMBER(P19)=TRUE(),INDIRECT("C"&amp;P19+4)," ")</f>
        <v>Track Klick</v>
      </c>
      <c r="S17" s="40" t="n">
        <f aca="true">IF(ISNUMBER(P19)=TRUE(),INDIRECT("H"&amp;P19+4)," ")</f>
        <v>0</v>
      </c>
      <c r="U17" s="1" t="str">
        <f aca="false">IF(M15&lt;&gt;"",M15,"")</f>
        <v/>
      </c>
      <c r="V17" s="2" t="str">
        <f aca="true">IF(ISNUMBER(T17)=TRUE(),INDIRECT("B"&amp;T17+4)," ")</f>
        <v> </v>
      </c>
      <c r="W17" s="1" t="n">
        <f aca="false">MATCH(X15,G$5:G$38,)</f>
        <v>25</v>
      </c>
      <c r="X17" s="38" t="n">
        <v>13</v>
      </c>
      <c r="Y17" s="52" t="str">
        <f aca="true">IF(ISNUMBER(W19)=TRUE(),INDIRECT("C"&amp;W19+4)," ")</f>
        <v>OH links</v>
      </c>
      <c r="Z17" s="54" t="str">
        <f aca="true">IF(ISNUMBER(W19)=TRUE(),INDIRECT("H"&amp;W19+4)," ")</f>
        <v>AKG OH</v>
      </c>
    </row>
    <row r="18" customFormat="false" ht="16.5" hidden="false" customHeight="false" outlineLevel="0" collapsed="false">
      <c r="A18" s="26" t="s">
        <v>70</v>
      </c>
      <c r="B18" s="27" t="n">
        <v>15</v>
      </c>
      <c r="C18" s="33" t="s">
        <v>71</v>
      </c>
      <c r="D18" s="81" t="str">
        <f aca="false">IF(E18&lt;&gt;"","In"&amp;E18,IF(F18&lt;&gt;"","A"&amp;F18,IF(G18&lt;&gt;"","A"&amp;G18+16,"")))</f>
        <v>A11</v>
      </c>
      <c r="E18" s="30"/>
      <c r="F18" s="30" t="n">
        <v>11</v>
      </c>
      <c r="G18" s="30"/>
      <c r="H18" s="31"/>
      <c r="I18" s="32" t="s">
        <v>72</v>
      </c>
      <c r="J18" s="53"/>
      <c r="K18" s="50" t="s">
        <v>73</v>
      </c>
      <c r="L18" s="51"/>
      <c r="M18" s="51"/>
      <c r="N18" s="51"/>
      <c r="O18" s="36"/>
      <c r="P18" s="37" t="n">
        <f aca="false">MATCH(Q16,F$5:F$38,)</f>
        <v>30</v>
      </c>
      <c r="Q18" s="38" t="n">
        <v>14</v>
      </c>
      <c r="R18" s="39" t="str">
        <f aca="true">IF(ISNUMBER(P20)=TRUE(),INDIRECT("C"&amp;P20+4)," ")</f>
        <v>Saal</v>
      </c>
      <c r="S18" s="40" t="n">
        <f aca="true">IF(ISNUMBER(P20)=TRUE(),INDIRECT("H"&amp;P20+4)," ")</f>
        <v>0</v>
      </c>
      <c r="U18" s="1" t="str">
        <f aca="false">IF(M16&lt;&gt;"",M16,"")</f>
        <v/>
      </c>
      <c r="V18" s="2" t="str">
        <f aca="true">IF(ISNUMBER(T18)=TRUE(),INDIRECT("B"&amp;T18+4)," ")</f>
        <v> </v>
      </c>
      <c r="W18" s="1" t="n">
        <f aca="false">MATCH(X16,G$5:G$38,)</f>
        <v>26</v>
      </c>
      <c r="X18" s="38" t="n">
        <v>14</v>
      </c>
      <c r="Y18" s="52" t="str">
        <f aca="true">IF(ISNUMBER(W20)=TRUE(),INDIRECT("C"&amp;W20+4)," ")</f>
        <v>OH rechts</v>
      </c>
      <c r="Z18" s="54" t="str">
        <f aca="true">IF(ISNUMBER(W20)=TRUE(),INDIRECT("H"&amp;W20+4)," ")</f>
        <v>AKG OH</v>
      </c>
    </row>
    <row r="19" customFormat="false" ht="15.5" hidden="false" customHeight="true" outlineLevel="0" collapsed="false">
      <c r="A19" s="26"/>
      <c r="B19" s="56" t="n">
        <v>15</v>
      </c>
      <c r="C19" s="73" t="s">
        <v>74</v>
      </c>
      <c r="D19" s="55" t="str">
        <f aca="false">IF(E19&lt;&gt;"","In"&amp;E19,IF(F19&lt;&gt;"","A"&amp;F19,IF(G19&lt;&gt;"","A"&amp;G19+16,"")))</f>
        <v/>
      </c>
      <c r="E19" s="58"/>
      <c r="F19" s="58"/>
      <c r="G19" s="58"/>
      <c r="H19" s="31"/>
      <c r="I19" s="32" t="s">
        <v>75</v>
      </c>
      <c r="J19" s="53" t="s">
        <v>76</v>
      </c>
      <c r="K19" s="50"/>
      <c r="L19" s="51"/>
      <c r="M19" s="51"/>
      <c r="N19" s="51" t="n">
        <v>7</v>
      </c>
      <c r="O19" s="36"/>
      <c r="P19" s="37" t="n">
        <f aca="false">MATCH(Q17,F$5:F$38,)</f>
        <v>31</v>
      </c>
      <c r="Q19" s="38" t="n">
        <v>15</v>
      </c>
      <c r="R19" s="39" t="str">
        <f aca="true">IF(ISNUMBER(P21)=TRUE(),INDIRECT("C"&amp;P21+4)," ")</f>
        <v>MD</v>
      </c>
      <c r="S19" s="40" t="n">
        <f aca="true">IF(ISNUMBER(P21)=TRUE(),INDIRECT("H"&amp;P21+4)," ")</f>
        <v>0</v>
      </c>
      <c r="U19" s="1" t="str">
        <f aca="false">IF(M17&lt;&gt;"",M17,"")</f>
        <v/>
      </c>
      <c r="V19" s="2" t="str">
        <f aca="true">IF(ISNUMBER(T19)=TRUE(),INDIRECT("B"&amp;T19+4)," ")</f>
        <v> </v>
      </c>
      <c r="W19" s="1" t="n">
        <f aca="false">MATCH(X17,G$5:G$38,)</f>
        <v>27</v>
      </c>
      <c r="X19" s="38" t="n">
        <v>15</v>
      </c>
      <c r="Y19" s="52" t="str">
        <f aca="true">IF(ISNUMBER(W21)=TRUE(),INDIRECT("C"&amp;W21+4)," ")</f>
        <v>Klick</v>
      </c>
      <c r="Z19" s="54" t="n">
        <f aca="true">IF(ISNUMBER(W21)=TRUE(),INDIRECT("H"&amp;W21+4)," ")</f>
        <v>0</v>
      </c>
    </row>
    <row r="20" customFormat="false" ht="16.5" hidden="false" customHeight="false" outlineLevel="0" collapsed="false">
      <c r="A20" s="26" t="s">
        <v>77</v>
      </c>
      <c r="B20" s="27" t="n">
        <v>16</v>
      </c>
      <c r="C20" s="33" t="s">
        <v>78</v>
      </c>
      <c r="D20" s="29" t="str">
        <f aca="false">IF(E20&lt;&gt;"","In"&amp;E20,IF(F20&lt;&gt;"","A"&amp;F20,IF(G20&lt;&gt;"","A"&amp;G20+16,"")))</f>
        <v>In1</v>
      </c>
      <c r="E20" s="30" t="n">
        <v>1</v>
      </c>
      <c r="F20" s="30"/>
      <c r="G20" s="30"/>
      <c r="H20" s="61"/>
      <c r="I20" s="67" t="s">
        <v>79</v>
      </c>
      <c r="J20" s="68" t="s">
        <v>76</v>
      </c>
      <c r="K20" s="69"/>
      <c r="L20" s="70"/>
      <c r="M20" s="70"/>
      <c r="N20" s="70" t="n">
        <v>8</v>
      </c>
      <c r="O20" s="71"/>
      <c r="P20" s="37" t="n">
        <f aca="false">MATCH(Q18,F$5:F$38,)</f>
        <v>32</v>
      </c>
      <c r="Q20" s="72" t="n">
        <v>16</v>
      </c>
      <c r="R20" s="82" t="str">
        <f aca="true">IF(ISNUMBER(P22)=TRUE(),INDIRECT("C"&amp;P22+4)," ")</f>
        <v>Teamspeak</v>
      </c>
      <c r="S20" s="83" t="n">
        <f aca="true">IF(ISNUMBER(P22)=TRUE(),INDIRECT("H"&amp;P22+4)," ")</f>
        <v>0</v>
      </c>
      <c r="U20" s="1" t="str">
        <f aca="false">IF(M18&lt;&gt;"",M18,"")</f>
        <v/>
      </c>
      <c r="V20" s="2" t="str">
        <f aca="true">IF(ISNUMBER(T20)=TRUE(),INDIRECT("B"&amp;T20+4)," ")</f>
        <v> </v>
      </c>
      <c r="W20" s="1" t="n">
        <f aca="false">MATCH(X18,G$5:G$38,)</f>
        <v>28</v>
      </c>
      <c r="X20" s="72" t="n">
        <v>16</v>
      </c>
      <c r="Y20" s="84" t="str">
        <f aca="true">IF(ISNUMBER(W22)=TRUE(),INDIRECT("C"&amp;W22+4)," ")</f>
        <v> </v>
      </c>
      <c r="Z20" s="85" t="str">
        <f aca="true">IF(ISNUMBER(W22)=TRUE(),INDIRECT("H"&amp;W22+4)," ")</f>
        <v> </v>
      </c>
    </row>
    <row r="21" customFormat="false" ht="15.5" hidden="false" customHeight="true" outlineLevel="0" collapsed="false">
      <c r="A21" s="26"/>
      <c r="B21" s="45" t="n">
        <v>17</v>
      </c>
      <c r="C21" s="46" t="s">
        <v>80</v>
      </c>
      <c r="D21" s="47" t="str">
        <f aca="false">IF(E21&lt;&gt;"","In"&amp;E21,IF(F21&lt;&gt;"","A"&amp;F21,IF(G21&lt;&gt;"","A"&amp;G21+16,"")))</f>
        <v>In3</v>
      </c>
      <c r="E21" s="48" t="n">
        <v>3</v>
      </c>
      <c r="F21" s="49"/>
      <c r="G21" s="49"/>
      <c r="H21" s="59"/>
      <c r="I21" s="32" t="s">
        <v>81</v>
      </c>
      <c r="J21" s="86" t="s">
        <v>82</v>
      </c>
      <c r="K21" s="87" t="s">
        <v>83</v>
      </c>
      <c r="L21" s="88"/>
      <c r="M21" s="88"/>
      <c r="N21" s="88"/>
      <c r="O21" s="89" t="s">
        <v>84</v>
      </c>
      <c r="P21" s="37" t="n">
        <f aca="false">MATCH(Q19,F$5:F$38,)</f>
        <v>33</v>
      </c>
      <c r="U21" s="1" t="str">
        <f aca="false">IF(M19&lt;&gt;"",M19,"")</f>
        <v/>
      </c>
      <c r="V21" s="2" t="str">
        <f aca="true">IF(ISNUMBER(T21)=TRUE(),INDIRECT("B"&amp;T21+4)," ")</f>
        <v> </v>
      </c>
      <c r="W21" s="1" t="n">
        <f aca="false">MATCH(X19,G$5:G$38,)</f>
        <v>29</v>
      </c>
    </row>
    <row r="22" customFormat="false" ht="16.5" hidden="false" customHeight="false" outlineLevel="0" collapsed="false">
      <c r="A22" s="26"/>
      <c r="B22" s="56" t="n">
        <v>18</v>
      </c>
      <c r="C22" s="73" t="s">
        <v>85</v>
      </c>
      <c r="D22" s="55" t="str">
        <f aca="false">IF(E22&lt;&gt;"","In"&amp;E22,IF(F22&lt;&gt;"","A"&amp;F22,IF(G22&lt;&gt;"","A"&amp;G22+16,"")))</f>
        <v>In2</v>
      </c>
      <c r="E22" s="58" t="n">
        <v>2</v>
      </c>
      <c r="F22" s="58"/>
      <c r="G22" s="58"/>
      <c r="H22" s="90"/>
      <c r="I22" s="38" t="s">
        <v>86</v>
      </c>
      <c r="J22" s="53" t="s">
        <v>87</v>
      </c>
      <c r="K22" s="91" t="s">
        <v>88</v>
      </c>
      <c r="L22" s="51"/>
      <c r="M22" s="51"/>
      <c r="N22" s="51"/>
      <c r="O22" s="92" t="s">
        <v>84</v>
      </c>
      <c r="P22" s="37" t="n">
        <f aca="false">MATCH(Q20,F$5:F$38,)</f>
        <v>34</v>
      </c>
      <c r="U22" s="1" t="str">
        <f aca="false">IF(M20&lt;&gt;"",M20,"")</f>
        <v/>
      </c>
      <c r="V22" s="2" t="str">
        <f aca="true">IF(ISNUMBER(T22)=TRUE(),INDIRECT("B"&amp;T22+4)," ")</f>
        <v> </v>
      </c>
      <c r="W22" s="1" t="e">
        <f aca="false">MATCH(X20,G$5:G$38,)</f>
        <v>#N/A</v>
      </c>
    </row>
    <row r="23" customFormat="false" ht="16.5" hidden="false" customHeight="false" outlineLevel="0" collapsed="false">
      <c r="A23" s="60" t="s">
        <v>89</v>
      </c>
      <c r="B23" s="93" t="n">
        <v>19</v>
      </c>
      <c r="C23" s="94" t="s">
        <v>90</v>
      </c>
      <c r="D23" s="29" t="str">
        <f aca="false">IF(E23&lt;&gt;"","In"&amp;E23,IF(F23&lt;&gt;"","A"&amp;F23,IF(G23&lt;&gt;"","A"&amp;G23+16,"")))</f>
        <v>A21</v>
      </c>
      <c r="E23" s="95"/>
      <c r="F23" s="95"/>
      <c r="G23" s="95" t="n">
        <v>5</v>
      </c>
      <c r="H23" s="96" t="s">
        <v>91</v>
      </c>
      <c r="I23" s="38" t="s">
        <v>92</v>
      </c>
      <c r="J23" s="53"/>
      <c r="K23" s="91"/>
      <c r="L23" s="51"/>
      <c r="M23" s="51"/>
      <c r="N23" s="51"/>
      <c r="O23" s="92"/>
      <c r="P23" s="37"/>
    </row>
    <row r="24" customFormat="false" ht="16.5" hidden="false" customHeight="false" outlineLevel="0" collapsed="false">
      <c r="A24" s="60"/>
      <c r="B24" s="97" t="n">
        <v>20</v>
      </c>
      <c r="C24" s="98" t="s">
        <v>93</v>
      </c>
      <c r="D24" s="47" t="str">
        <f aca="false">IF(E24&lt;&gt;"","In"&amp;E24,IF(F24&lt;&gt;"","A"&amp;F24,IF(G24&lt;&gt;"","A"&amp;G24+16,"")))</f>
        <v>A22</v>
      </c>
      <c r="E24" s="99"/>
      <c r="F24" s="100"/>
      <c r="G24" s="100" t="n">
        <v>6</v>
      </c>
      <c r="H24" s="101" t="s">
        <v>94</v>
      </c>
      <c r="I24" s="38" t="s">
        <v>95</v>
      </c>
      <c r="J24" s="53"/>
      <c r="K24" s="91"/>
      <c r="L24" s="51"/>
      <c r="M24" s="51"/>
      <c r="N24" s="51"/>
      <c r="O24" s="92"/>
      <c r="P24" s="37"/>
    </row>
    <row r="25" customFormat="false" ht="16.5" hidden="false" customHeight="false" outlineLevel="0" collapsed="false">
      <c r="A25" s="60"/>
      <c r="B25" s="97" t="n">
        <v>21</v>
      </c>
      <c r="C25" s="98" t="s">
        <v>96</v>
      </c>
      <c r="D25" s="47" t="str">
        <f aca="false">IF(E25&lt;&gt;"","In"&amp;E25,IF(F25&lt;&gt;"","A"&amp;F25,IF(G25&lt;&gt;"","A"&amp;G25+16,"")))</f>
        <v>A23</v>
      </c>
      <c r="E25" s="99"/>
      <c r="F25" s="100"/>
      <c r="G25" s="100" t="n">
        <v>7</v>
      </c>
      <c r="H25" s="101" t="s">
        <v>97</v>
      </c>
      <c r="I25" s="38" t="s">
        <v>98</v>
      </c>
      <c r="J25" s="53"/>
      <c r="K25" s="91"/>
      <c r="L25" s="51"/>
      <c r="M25" s="51"/>
      <c r="N25" s="51"/>
      <c r="O25" s="92"/>
      <c r="P25" s="37"/>
    </row>
    <row r="26" customFormat="false" ht="16.5" hidden="false" customHeight="false" outlineLevel="0" collapsed="false">
      <c r="A26" s="60"/>
      <c r="B26" s="97" t="n">
        <v>22</v>
      </c>
      <c r="C26" s="1" t="s">
        <v>99</v>
      </c>
      <c r="D26" s="47" t="str">
        <f aca="false">IF(E26&lt;&gt;"","In"&amp;E26,IF(F26&lt;&gt;"","A"&amp;F26,IF(G26&lt;&gt;"","A"&amp;G26+16,"")))</f>
        <v>A24</v>
      </c>
      <c r="E26" s="99"/>
      <c r="F26" s="100"/>
      <c r="G26" s="100" t="n">
        <v>8</v>
      </c>
      <c r="H26" s="101"/>
      <c r="I26" s="72" t="s">
        <v>100</v>
      </c>
      <c r="J26" s="68" t="s">
        <v>43</v>
      </c>
      <c r="K26" s="102" t="s">
        <v>101</v>
      </c>
      <c r="L26" s="70"/>
      <c r="M26" s="70"/>
      <c r="N26" s="70"/>
      <c r="O26" s="103" t="s">
        <v>84</v>
      </c>
      <c r="P26" s="37"/>
    </row>
    <row r="27" customFormat="false" ht="16.5" hidden="false" customHeight="false" outlineLevel="0" collapsed="false">
      <c r="A27" s="60"/>
      <c r="B27" s="97" t="n">
        <v>23</v>
      </c>
      <c r="C27" s="98" t="s">
        <v>102</v>
      </c>
      <c r="D27" s="47" t="str">
        <f aca="false">IF(E27&lt;&gt;"","In"&amp;E27,IF(F27&lt;&gt;"","A"&amp;F27,IF(G27&lt;&gt;"","A"&amp;G27+16,"")))</f>
        <v>A25</v>
      </c>
      <c r="E27" s="99"/>
      <c r="F27" s="100"/>
      <c r="G27" s="100" t="n">
        <v>9</v>
      </c>
      <c r="H27" s="101" t="s">
        <v>103</v>
      </c>
      <c r="P27" s="37"/>
    </row>
    <row r="28" customFormat="false" ht="16.5" hidden="false" customHeight="false" outlineLevel="0" collapsed="false">
      <c r="A28" s="60"/>
      <c r="B28" s="97" t="n">
        <v>24</v>
      </c>
      <c r="C28" s="98" t="s">
        <v>104</v>
      </c>
      <c r="D28" s="47" t="str">
        <f aca="false">IF(E28&lt;&gt;"","In"&amp;E28,IF(F28&lt;&gt;"","A"&amp;F28,IF(G28&lt;&gt;"","A"&amp;G28+16,"")))</f>
        <v>A26</v>
      </c>
      <c r="E28" s="99"/>
      <c r="F28" s="100"/>
      <c r="G28" s="100" t="n">
        <v>10</v>
      </c>
      <c r="H28" s="101" t="s">
        <v>105</v>
      </c>
      <c r="P28" s="37"/>
    </row>
    <row r="29" customFormat="false" ht="16.5" hidden="false" customHeight="false" outlineLevel="0" collapsed="false">
      <c r="A29" s="60"/>
      <c r="B29" s="97" t="n">
        <v>25</v>
      </c>
      <c r="C29" s="104" t="s">
        <v>106</v>
      </c>
      <c r="D29" s="47" t="str">
        <f aca="false">IF(E29&lt;&gt;"","In"&amp;E29,IF(F29&lt;&gt;"","A"&amp;F29,IF(G29&lt;&gt;"","A"&amp;G29+16,"")))</f>
        <v>A27</v>
      </c>
      <c r="E29" s="99"/>
      <c r="F29" s="100"/>
      <c r="G29" s="100" t="n">
        <v>11</v>
      </c>
      <c r="H29" s="101" t="s">
        <v>107</v>
      </c>
      <c r="L29" s="2"/>
      <c r="M29" s="2"/>
      <c r="N29" s="2"/>
    </row>
    <row r="30" customFormat="false" ht="16.5" hidden="false" customHeight="false" outlineLevel="0" collapsed="false">
      <c r="A30" s="60"/>
      <c r="B30" s="97" t="n">
        <v>26</v>
      </c>
      <c r="C30" s="98" t="s">
        <v>108</v>
      </c>
      <c r="D30" s="47" t="str">
        <f aca="false">IF(E30&lt;&gt;"","In"&amp;E30,IF(F30&lt;&gt;"","A"&amp;F30,IF(G30&lt;&gt;"","A"&amp;G30+16,"")))</f>
        <v>A28</v>
      </c>
      <c r="E30" s="99"/>
      <c r="F30" s="100"/>
      <c r="G30" s="100" t="n">
        <v>12</v>
      </c>
      <c r="H30" s="101"/>
    </row>
    <row r="31" customFormat="false" ht="16.5" hidden="false" customHeight="false" outlineLevel="0" collapsed="false">
      <c r="A31" s="60"/>
      <c r="B31" s="97" t="n">
        <v>27</v>
      </c>
      <c r="C31" s="98" t="s">
        <v>109</v>
      </c>
      <c r="D31" s="47" t="str">
        <f aca="false">IF(E31&lt;&gt;"","In"&amp;E31,IF(F31&lt;&gt;"","A"&amp;F31,IF(G31&lt;&gt;"","A"&amp;G31+16,"")))</f>
        <v>A29</v>
      </c>
      <c r="E31" s="99"/>
      <c r="F31" s="100"/>
      <c r="G31" s="100" t="n">
        <v>13</v>
      </c>
      <c r="H31" s="101" t="s">
        <v>110</v>
      </c>
    </row>
    <row r="32" customFormat="false" ht="16.5" hidden="false" customHeight="false" outlineLevel="0" collapsed="false">
      <c r="A32" s="60"/>
      <c r="B32" s="105" t="n">
        <v>28</v>
      </c>
      <c r="C32" s="73" t="s">
        <v>111</v>
      </c>
      <c r="D32" s="55" t="str">
        <f aca="false">IF(E32&lt;&gt;"","In"&amp;E32,IF(F32&lt;&gt;"","A"&amp;F32,IF(G32&lt;&gt;"","A"&amp;G32+16,"")))</f>
        <v>A30</v>
      </c>
      <c r="E32" s="106"/>
      <c r="F32" s="106"/>
      <c r="G32" s="106" t="n">
        <v>14</v>
      </c>
      <c r="H32" s="80" t="s">
        <v>110</v>
      </c>
    </row>
    <row r="33" customFormat="false" ht="16.5" hidden="false" customHeight="false" outlineLevel="0" collapsed="false">
      <c r="A33" s="60" t="s">
        <v>112</v>
      </c>
      <c r="B33" s="107" t="n">
        <v>29</v>
      </c>
      <c r="C33" s="94" t="s">
        <v>113</v>
      </c>
      <c r="D33" s="29" t="str">
        <f aca="false">IF(E33&lt;&gt;"","In"&amp;E33,IF(F33&lt;&gt;"","A"&amp;F33,IF(G33&lt;&gt;"","A"&amp;G33+16,"")))</f>
        <v>A31</v>
      </c>
      <c r="E33" s="35"/>
      <c r="F33" s="35"/>
      <c r="G33" s="35" t="n">
        <v>15</v>
      </c>
      <c r="H33" s="108"/>
    </row>
    <row r="34" customFormat="false" ht="16.5" hidden="false" customHeight="false" outlineLevel="0" collapsed="false">
      <c r="A34" s="60"/>
      <c r="B34" s="32" t="n">
        <v>30</v>
      </c>
      <c r="C34" s="109" t="s">
        <v>114</v>
      </c>
      <c r="D34" s="47" t="str">
        <f aca="false">IF(E34&lt;&gt;"","In"&amp;E34,IF(F34&lt;&gt;"","A"&amp;F34,IF(G34&lt;&gt;"","A"&amp;G34+16,"")))</f>
        <v>A12</v>
      </c>
      <c r="E34" s="110"/>
      <c r="F34" s="51" t="n">
        <v>12</v>
      </c>
      <c r="G34" s="51"/>
      <c r="H34" s="92"/>
      <c r="N34" s="1" t="s">
        <v>115</v>
      </c>
    </row>
    <row r="35" customFormat="false" ht="16.5" hidden="false" customHeight="false" outlineLevel="0" collapsed="false">
      <c r="A35" s="60"/>
      <c r="B35" s="32" t="n">
        <v>31</v>
      </c>
      <c r="C35" s="98" t="s">
        <v>116</v>
      </c>
      <c r="D35" s="47" t="str">
        <f aca="false">IF(E35&lt;&gt;"","In"&amp;E35,IF(F35&lt;&gt;"","A"&amp;F35,IF(G35&lt;&gt;"","A"&amp;G35+16,"")))</f>
        <v>A13</v>
      </c>
      <c r="E35" s="110"/>
      <c r="F35" s="51" t="n">
        <v>13</v>
      </c>
      <c r="G35" s="51"/>
      <c r="H35" s="92"/>
      <c r="J35" s="111"/>
    </row>
    <row r="36" customFormat="false" ht="16.5" hidden="false" customHeight="false" outlineLevel="0" collapsed="false">
      <c r="A36" s="60"/>
      <c r="B36" s="97" t="n">
        <v>32</v>
      </c>
      <c r="C36" s="98" t="s">
        <v>117</v>
      </c>
      <c r="D36" s="47" t="str">
        <f aca="false">IF(E36&lt;&gt;"","In"&amp;E36,IF(F36&lt;&gt;"","A"&amp;F36,IF(G36&lt;&gt;"","A"&amp;G36+16,"")))</f>
        <v>A14</v>
      </c>
      <c r="E36" s="99"/>
      <c r="F36" s="100" t="n">
        <v>14</v>
      </c>
      <c r="G36" s="100"/>
      <c r="H36" s="101"/>
      <c r="J36" s="111"/>
    </row>
    <row r="37" customFormat="false" ht="16.5" hidden="false" customHeight="false" outlineLevel="0" collapsed="false">
      <c r="A37" s="60"/>
      <c r="B37" s="97" t="n">
        <v>33</v>
      </c>
      <c r="C37" s="98" t="s">
        <v>118</v>
      </c>
      <c r="D37" s="47" t="str">
        <f aca="false">IF(E37&lt;&gt;"","In"&amp;E37,IF(F37&lt;&gt;"","A"&amp;F37,IF(G37&lt;&gt;"","A"&amp;G37+16,"")))</f>
        <v>A15</v>
      </c>
      <c r="E37" s="99"/>
      <c r="F37" s="100" t="n">
        <v>15</v>
      </c>
      <c r="G37" s="100"/>
      <c r="H37" s="101"/>
      <c r="J37" s="111"/>
    </row>
    <row r="38" customFormat="false" ht="16.5" hidden="false" customHeight="false" outlineLevel="0" collapsed="false">
      <c r="A38" s="60"/>
      <c r="B38" s="112" t="n">
        <v>34</v>
      </c>
      <c r="C38" s="113" t="s">
        <v>119</v>
      </c>
      <c r="D38" s="55" t="str">
        <f aca="false">IF(E38&lt;&gt;"","In"&amp;E38,IF(F38&lt;&gt;"","A"&amp;F38,IF(G38&lt;&gt;"","A"&amp;G38+16,"")))</f>
        <v>A16</v>
      </c>
      <c r="E38" s="114"/>
      <c r="F38" s="114" t="n">
        <v>16</v>
      </c>
      <c r="G38" s="114"/>
      <c r="H38" s="115"/>
      <c r="J38" s="111"/>
    </row>
    <row r="39" customFormat="false" ht="16.5" hidden="false" customHeight="false" outlineLevel="0" collapsed="false">
      <c r="A39" s="116" t="s">
        <v>81</v>
      </c>
      <c r="B39" s="116"/>
      <c r="C39" s="74"/>
      <c r="D39" s="117"/>
      <c r="E39" s="118"/>
      <c r="F39" s="118"/>
      <c r="G39" s="118"/>
      <c r="H39" s="108"/>
      <c r="J39" s="111"/>
    </row>
    <row r="40" customFormat="false" ht="16.5" hidden="false" customHeight="false" outlineLevel="0" collapsed="false">
      <c r="A40" s="32" t="s">
        <v>86</v>
      </c>
      <c r="B40" s="32"/>
      <c r="C40" s="53"/>
      <c r="D40" s="119"/>
      <c r="E40" s="120"/>
      <c r="F40" s="120"/>
      <c r="G40" s="120"/>
      <c r="H40" s="92"/>
      <c r="J40" s="111"/>
    </row>
    <row r="41" customFormat="false" ht="16.5" hidden="false" customHeight="false" outlineLevel="0" collapsed="false">
      <c r="A41" s="32" t="s">
        <v>92</v>
      </c>
      <c r="B41" s="32"/>
      <c r="C41" s="53" t="s">
        <v>120</v>
      </c>
      <c r="D41" s="119"/>
      <c r="E41" s="120"/>
      <c r="F41" s="120"/>
      <c r="G41" s="120"/>
      <c r="H41" s="92"/>
      <c r="J41" s="121"/>
    </row>
    <row r="42" customFormat="false" ht="16.5" hidden="false" customHeight="false" outlineLevel="0" collapsed="false">
      <c r="A42" s="32" t="s">
        <v>95</v>
      </c>
      <c r="B42" s="32"/>
      <c r="C42" s="53" t="s">
        <v>120</v>
      </c>
      <c r="D42" s="119"/>
      <c r="E42" s="120"/>
      <c r="F42" s="120"/>
      <c r="G42" s="120"/>
      <c r="H42" s="92"/>
      <c r="J42" s="111"/>
    </row>
    <row r="43" customFormat="false" ht="16.5" hidden="false" customHeight="false" outlineLevel="0" collapsed="false">
      <c r="A43" s="32" t="s">
        <v>98</v>
      </c>
      <c r="B43" s="32"/>
      <c r="C43" s="53" t="s">
        <v>121</v>
      </c>
      <c r="D43" s="119"/>
      <c r="E43" s="120"/>
      <c r="F43" s="120"/>
      <c r="G43" s="120"/>
      <c r="H43" s="92"/>
    </row>
    <row r="44" customFormat="false" ht="16.5" hidden="false" customHeight="false" outlineLevel="0" collapsed="false">
      <c r="A44" s="122" t="s">
        <v>100</v>
      </c>
      <c r="B44" s="122"/>
      <c r="C44" s="68" t="s">
        <v>121</v>
      </c>
      <c r="D44" s="123"/>
      <c r="E44" s="124"/>
      <c r="F44" s="124"/>
      <c r="G44" s="124"/>
      <c r="H44" s="103"/>
    </row>
    <row r="45" customFormat="false" ht="17.9" hidden="false" customHeight="false" outlineLevel="0" collapsed="false">
      <c r="A45" s="1" t="s">
        <v>122</v>
      </c>
      <c r="B45" s="125"/>
      <c r="E45" s="1" t="n">
        <f aca="false">COUNT(E5:E44)</f>
        <v>3</v>
      </c>
      <c r="F45" s="1" t="n">
        <f aca="false">COUNT(F5:F44)</f>
        <v>16</v>
      </c>
      <c r="G45" s="1" t="n">
        <f aca="false">COUNT(G5:G44)</f>
        <v>13</v>
      </c>
    </row>
  </sheetData>
  <mergeCells count="21">
    <mergeCell ref="B1:H1"/>
    <mergeCell ref="I1:O1"/>
    <mergeCell ref="Q1:V1"/>
    <mergeCell ref="X1:AC1"/>
    <mergeCell ref="A3:B3"/>
    <mergeCell ref="D3:G3"/>
    <mergeCell ref="K3:N3"/>
    <mergeCell ref="A4:B4"/>
    <mergeCell ref="A5:A9"/>
    <mergeCell ref="A10:A13"/>
    <mergeCell ref="A14:A17"/>
    <mergeCell ref="A18:A19"/>
    <mergeCell ref="A20:A22"/>
    <mergeCell ref="A23:A32"/>
    <mergeCell ref="A33:A38"/>
    <mergeCell ref="A39:B39"/>
    <mergeCell ref="A40:B40"/>
    <mergeCell ref="A41:B41"/>
    <mergeCell ref="A42:B42"/>
    <mergeCell ref="A43:B43"/>
    <mergeCell ref="A44:B44"/>
  </mergeCells>
  <printOptions headings="false" gridLines="false" gridLinesSet="true" horizontalCentered="false" verticalCentered="false"/>
  <pageMargins left="0.25" right="0.25" top="0.694444444444444" bottom="0.75" header="0.3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&amp;L&amp;"Calibri,Fett"&amp;20Übersicht X32</oddHeader>
    <oddFooter/>
  </headerFooter>
  <colBreaks count="2" manualBreakCount="2">
    <brk id="8" man="true" max="65535" min="0"/>
    <brk id="15" man="true" max="65535" min="0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9D47E4A5-B22E-43F0-B848-8B9AF2486C21}">
            <xm:f>16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E45:F45</xm:sqref>
        </x14:conditionalFormatting>
        <x14:conditionalFormatting xmlns:xm="http://schemas.microsoft.com/office/excel/2006/main">
          <x14:cfRule type="cellIs" priority="3" operator="greaterThan" id="{B740B67D-B864-464B-BC18-54C9BB1E4FF4}">
            <xm:f>16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O12" activeCellId="0" sqref="O12"/>
    </sheetView>
  </sheetViews>
  <sheetFormatPr defaultColWidth="10.83203125" defaultRowHeight="16.5" customHeight="false" zeroHeight="false" outlineLevelRow="0" outlineLevelCol="0"/>
  <cols>
    <col collapsed="false" customWidth="true" hidden="false" outlineLevel="0" max="1" min="1" style="1" width="4.83"/>
    <col collapsed="false" customWidth="true" hidden="false" outlineLevel="0" max="2" min="2" style="1" width="3.83"/>
    <col collapsed="false" customWidth="true" hidden="false" outlineLevel="0" max="3" min="3" style="1" width="11.83"/>
    <col collapsed="false" customWidth="true" hidden="false" outlineLevel="0" max="4" min="4" style="1" width="10.16"/>
    <col collapsed="false" customWidth="true" hidden="false" outlineLevel="0" max="5" min="5" style="1" width="9.66"/>
    <col collapsed="false" customWidth="true" hidden="false" outlineLevel="0" max="6" min="6" style="1" width="9.16"/>
    <col collapsed="false" customWidth="true" hidden="false" outlineLevel="0" max="7" min="7" style="1" width="9.83"/>
    <col collapsed="false" customWidth="true" hidden="false" outlineLevel="0" max="8" min="8" style="1" width="13.66"/>
    <col collapsed="false" customWidth="true" hidden="false" outlineLevel="0" max="9" min="9" style="1" width="4.66"/>
  </cols>
  <sheetData>
    <row r="1" customFormat="false" ht="16.5" hidden="false" customHeight="false" outlineLevel="0" collapsed="false">
      <c r="A1" s="126"/>
      <c r="B1" s="126"/>
      <c r="C1" s="126"/>
      <c r="D1" s="126"/>
      <c r="E1" s="126"/>
      <c r="F1" s="126"/>
      <c r="G1" s="126"/>
      <c r="H1" s="126"/>
      <c r="I1" s="126"/>
    </row>
    <row r="2" customFormat="false" ht="16.5" hidden="false" customHeight="false" outlineLevel="0" collapsed="false">
      <c r="A2" s="126"/>
      <c r="B2" s="126"/>
      <c r="C2" s="126"/>
      <c r="D2" s="126"/>
      <c r="E2" s="127"/>
      <c r="F2" s="127"/>
      <c r="G2" s="126"/>
      <c r="H2" s="126"/>
      <c r="I2" s="126"/>
    </row>
    <row r="3" customFormat="false" ht="16.5" hidden="false" customHeight="false" outlineLevel="0" collapsed="false">
      <c r="A3" s="126"/>
      <c r="B3" s="126"/>
      <c r="C3" s="126"/>
      <c r="D3" s="126"/>
      <c r="E3" s="126"/>
      <c r="F3" s="126"/>
      <c r="G3" s="126"/>
      <c r="H3" s="126"/>
      <c r="I3" s="126"/>
    </row>
    <row r="4" customFormat="false" ht="16.5" hidden="false" customHeight="false" outlineLevel="0" collapsed="false">
      <c r="A4" s="126"/>
      <c r="B4" s="126"/>
      <c r="C4" s="126"/>
      <c r="D4" s="126"/>
      <c r="E4" s="126"/>
      <c r="F4" s="126"/>
      <c r="G4" s="126"/>
      <c r="H4" s="126"/>
      <c r="I4" s="126"/>
    </row>
    <row r="5" customFormat="false" ht="16.5" hidden="false" customHeight="false" outlineLevel="0" collapsed="false">
      <c r="A5" s="126"/>
      <c r="B5" s="126"/>
      <c r="C5" s="126"/>
      <c r="D5" s="126"/>
      <c r="E5" s="126"/>
      <c r="F5" s="126"/>
      <c r="G5" s="126"/>
      <c r="H5" s="126"/>
      <c r="I5" s="126"/>
    </row>
    <row r="6" customFormat="false" ht="16.5" hidden="false" customHeight="false" outlineLevel="0" collapsed="false">
      <c r="A6" s="126"/>
      <c r="B6" s="126"/>
      <c r="C6" s="126"/>
      <c r="D6" s="126"/>
      <c r="E6" s="126"/>
      <c r="F6" s="126"/>
      <c r="G6" s="126"/>
      <c r="H6" s="126"/>
      <c r="I6" s="126"/>
    </row>
    <row r="7" customFormat="false" ht="16.5" hidden="false" customHeight="false" outlineLevel="0" collapsed="false">
      <c r="A7" s="126"/>
      <c r="B7" s="126"/>
      <c r="C7" s="126"/>
      <c r="D7" s="126"/>
      <c r="E7" s="126"/>
      <c r="F7" s="126"/>
      <c r="G7" s="126"/>
      <c r="H7" s="126"/>
      <c r="I7" s="126"/>
    </row>
    <row r="8" customFormat="false" ht="16.5" hidden="false" customHeight="false" outlineLevel="0" collapsed="false">
      <c r="A8" s="126"/>
      <c r="B8" s="126"/>
      <c r="C8" s="126"/>
      <c r="D8" s="126"/>
      <c r="E8" s="126"/>
      <c r="F8" s="126"/>
      <c r="G8" s="126"/>
      <c r="H8" s="126"/>
      <c r="I8" s="126"/>
    </row>
    <row r="9" customFormat="false" ht="16.5" hidden="false" customHeight="false" outlineLevel="0" collapsed="false">
      <c r="A9" s="126"/>
      <c r="B9" s="126"/>
      <c r="C9" s="126"/>
      <c r="D9" s="126"/>
      <c r="E9" s="126"/>
      <c r="F9" s="126"/>
      <c r="G9" s="126"/>
      <c r="H9" s="126"/>
      <c r="I9" s="126"/>
    </row>
    <row r="10" customFormat="false" ht="16.5" hidden="false" customHeight="false" outlineLevel="0" collapsed="false">
      <c r="A10" s="126"/>
      <c r="B10" s="126"/>
      <c r="C10" s="126"/>
      <c r="D10" s="126"/>
      <c r="E10" s="126"/>
      <c r="F10" s="126"/>
      <c r="G10" s="126"/>
      <c r="H10" s="126"/>
      <c r="I10" s="126"/>
    </row>
    <row r="11" customFormat="false" ht="16.5" hidden="false" customHeight="false" outlineLevel="0" collapsed="false">
      <c r="A11" s="126"/>
      <c r="B11" s="126"/>
      <c r="C11" s="126"/>
      <c r="D11" s="126"/>
      <c r="E11" s="126"/>
      <c r="F11" s="126"/>
      <c r="G11" s="126"/>
      <c r="H11" s="126"/>
      <c r="I11" s="126"/>
    </row>
    <row r="12" customFormat="false" ht="16.5" hidden="false" customHeight="false" outlineLevel="0" collapsed="false">
      <c r="A12" s="126"/>
      <c r="B12" s="126"/>
      <c r="C12" s="126"/>
      <c r="D12" s="126"/>
      <c r="E12" s="126"/>
      <c r="F12" s="126"/>
      <c r="G12" s="126"/>
      <c r="H12" s="126"/>
      <c r="I12" s="126"/>
    </row>
    <row r="13" customFormat="false" ht="16.5" hidden="false" customHeight="false" outlineLevel="0" collapsed="false">
      <c r="A13" s="126"/>
      <c r="B13" s="126"/>
      <c r="C13" s="126"/>
      <c r="D13" s="126"/>
      <c r="E13" s="126"/>
      <c r="F13" s="126"/>
      <c r="G13" s="126"/>
      <c r="H13" s="126"/>
      <c r="I13" s="126"/>
    </row>
    <row r="14" customFormat="false" ht="16.5" hidden="false" customHeight="false" outlineLevel="0" collapsed="false">
      <c r="A14" s="126"/>
      <c r="B14" s="126"/>
      <c r="C14" s="126"/>
      <c r="D14" s="126"/>
      <c r="E14" s="126"/>
      <c r="F14" s="126"/>
      <c r="G14" s="126"/>
      <c r="H14" s="126"/>
      <c r="I14" s="126"/>
    </row>
    <row r="15" customFormat="false" ht="16.5" hidden="false" customHeight="false" outlineLevel="0" collapsed="false">
      <c r="A15" s="126"/>
      <c r="B15" s="126"/>
      <c r="C15" s="126"/>
      <c r="D15" s="126"/>
      <c r="E15" s="126"/>
      <c r="F15" s="126"/>
      <c r="G15" s="126"/>
      <c r="H15" s="126"/>
      <c r="I15" s="126"/>
    </row>
    <row r="16" customFormat="false" ht="16.5" hidden="false" customHeight="false" outlineLevel="0" collapsed="false">
      <c r="A16" s="126"/>
      <c r="B16" s="126"/>
      <c r="C16" s="126"/>
      <c r="D16" s="126"/>
      <c r="E16" s="126"/>
      <c r="F16" s="126"/>
      <c r="G16" s="126"/>
      <c r="H16" s="126"/>
      <c r="I16" s="126"/>
    </row>
    <row r="17" customFormat="false" ht="16.5" hidden="false" customHeight="false" outlineLevel="0" collapsed="false">
      <c r="A17" s="126"/>
      <c r="B17" s="126"/>
      <c r="C17" s="126"/>
      <c r="D17" s="126"/>
      <c r="E17" s="126"/>
      <c r="F17" s="126"/>
      <c r="G17" s="126"/>
      <c r="H17" s="126"/>
      <c r="I17" s="126"/>
    </row>
    <row r="18" customFormat="false" ht="16.5" hidden="false" customHeight="false" outlineLevel="0" collapsed="false">
      <c r="A18" s="126"/>
      <c r="B18" s="126"/>
      <c r="C18" s="126"/>
      <c r="D18" s="126"/>
      <c r="E18" s="126"/>
      <c r="F18" s="126"/>
      <c r="G18" s="126"/>
      <c r="H18" s="126"/>
      <c r="I18" s="126"/>
    </row>
    <row r="19" customFormat="false" ht="16.5" hidden="false" customHeight="false" outlineLevel="0" collapsed="false">
      <c r="A19" s="126"/>
      <c r="B19" s="126"/>
      <c r="C19" s="126"/>
      <c r="D19" s="126"/>
      <c r="E19" s="126"/>
      <c r="F19" s="126"/>
      <c r="G19" s="126"/>
      <c r="H19" s="126"/>
      <c r="I19" s="126"/>
    </row>
    <row r="20" customFormat="false" ht="16.5" hidden="false" customHeight="false" outlineLevel="0" collapsed="false">
      <c r="A20" s="126"/>
      <c r="B20" s="126"/>
      <c r="C20" s="126"/>
      <c r="D20" s="126"/>
      <c r="E20" s="126"/>
      <c r="F20" s="126"/>
      <c r="G20" s="126"/>
      <c r="H20" s="126"/>
      <c r="I20" s="126"/>
    </row>
    <row r="21" customFormat="false" ht="16.5" hidden="false" customHeight="false" outlineLevel="0" collapsed="false">
      <c r="A21" s="126"/>
      <c r="B21" s="126"/>
      <c r="C21" s="126"/>
      <c r="D21" s="126"/>
      <c r="E21" s="126"/>
      <c r="F21" s="126"/>
      <c r="G21" s="126"/>
      <c r="H21" s="126"/>
      <c r="I21" s="126"/>
    </row>
    <row r="22" customFormat="false" ht="16.5" hidden="false" customHeight="false" outlineLevel="0" collapsed="false">
      <c r="A22" s="126"/>
      <c r="B22" s="126"/>
      <c r="C22" s="126"/>
      <c r="D22" s="126"/>
      <c r="E22" s="126"/>
      <c r="F22" s="126"/>
      <c r="G22" s="126"/>
      <c r="H22" s="126"/>
      <c r="I22" s="126"/>
    </row>
    <row r="23" customFormat="false" ht="16.5" hidden="false" customHeight="false" outlineLevel="0" collapsed="false">
      <c r="A23" s="126"/>
      <c r="B23" s="126"/>
      <c r="C23" s="126"/>
      <c r="D23" s="126"/>
      <c r="E23" s="126"/>
      <c r="F23" s="126"/>
      <c r="G23" s="126"/>
      <c r="H23" s="126"/>
      <c r="I23" s="126"/>
    </row>
    <row r="24" customFormat="false" ht="16.5" hidden="false" customHeight="false" outlineLevel="0" collapsed="false">
      <c r="J24" s="1" t="s">
        <v>115</v>
      </c>
    </row>
  </sheetData>
  <mergeCells count="1">
    <mergeCell ref="E2:F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0.83203125" defaultRowHeight="16" customHeight="false" zeroHeight="false" outlineLevelRow="0" outlineLevelCol="0"/>
  <cols>
    <col collapsed="false" customWidth="true" hidden="false" outlineLevel="0" max="1" min="1" style="1" width="65"/>
  </cols>
  <sheetData>
    <row r="1" customFormat="false" ht="24.45" hidden="false" customHeight="false" outlineLevel="0" collapsed="false">
      <c r="A1" s="128" t="s">
        <v>123</v>
      </c>
      <c r="B1" s="128"/>
      <c r="C1" s="128"/>
      <c r="D1" s="129"/>
      <c r="E1" s="129"/>
      <c r="F1" s="129"/>
      <c r="G1" s="129"/>
    </row>
    <row r="2" customFormat="false" ht="24.45" hidden="false" customHeight="false" outlineLevel="0" collapsed="false">
      <c r="A2" s="5"/>
      <c r="B2" s="5"/>
      <c r="C2" s="5"/>
      <c r="D2" s="129"/>
      <c r="E2" s="129"/>
      <c r="F2" s="129"/>
      <c r="G2" s="129"/>
    </row>
    <row r="3" customFormat="false" ht="16" hidden="false" customHeight="false" outlineLevel="0" collapsed="false">
      <c r="A3" s="130" t="s">
        <v>124</v>
      </c>
    </row>
    <row r="4" customFormat="false" ht="16" hidden="false" customHeight="false" outlineLevel="0" collapsed="false">
      <c r="A4" s="131" t="s">
        <v>125</v>
      </c>
      <c r="C4" s="132"/>
    </row>
    <row r="5" customFormat="false" ht="16" hidden="false" customHeight="false" outlineLevel="0" collapsed="false">
      <c r="A5" s="133"/>
    </row>
    <row r="6" customFormat="false" ht="16" hidden="false" customHeight="false" outlineLevel="0" collapsed="false">
      <c r="A6" s="130" t="s">
        <v>126</v>
      </c>
    </row>
    <row r="7" customFormat="false" ht="16" hidden="false" customHeight="false" outlineLevel="0" collapsed="false">
      <c r="A7" s="131" t="s">
        <v>127</v>
      </c>
      <c r="C7" s="132"/>
    </row>
    <row r="8" customFormat="false" ht="16" hidden="false" customHeight="false" outlineLevel="0" collapsed="false">
      <c r="A8" s="131" t="s">
        <v>128</v>
      </c>
      <c r="C8" s="132"/>
    </row>
    <row r="9" customFormat="false" ht="16" hidden="false" customHeight="false" outlineLevel="0" collapsed="false">
      <c r="A9" s="131" t="s">
        <v>129</v>
      </c>
      <c r="C9" s="132"/>
    </row>
    <row r="10" customFormat="false" ht="16" hidden="false" customHeight="false" outlineLevel="0" collapsed="false">
      <c r="A10" s="131" t="s">
        <v>130</v>
      </c>
      <c r="C10" s="132"/>
    </row>
    <row r="11" customFormat="false" ht="16" hidden="false" customHeight="false" outlineLevel="0" collapsed="false">
      <c r="A11" s="131" t="s">
        <v>131</v>
      </c>
      <c r="C11" s="132"/>
    </row>
    <row r="12" customFormat="false" ht="16" hidden="false" customHeight="false" outlineLevel="0" collapsed="false">
      <c r="A12" s="131" t="s">
        <v>132</v>
      </c>
      <c r="C12" s="132"/>
    </row>
    <row r="13" customFormat="false" ht="16" hidden="false" customHeight="false" outlineLevel="0" collapsed="false">
      <c r="A13" s="131" t="s">
        <v>133</v>
      </c>
      <c r="C13" s="132"/>
    </row>
    <row r="14" customFormat="false" ht="16" hidden="false" customHeight="false" outlineLevel="0" collapsed="false">
      <c r="A14" s="133"/>
    </row>
    <row r="15" customFormat="false" ht="36" hidden="false" customHeight="true" outlineLevel="0" collapsed="false">
      <c r="A15" s="134" t="s">
        <v>134</v>
      </c>
      <c r="B15" s="134"/>
      <c r="C15" s="134"/>
    </row>
    <row r="16" customFormat="false" ht="16" hidden="false" customHeight="false" outlineLevel="0" collapsed="false">
      <c r="A16" s="133"/>
    </row>
    <row r="17" customFormat="false" ht="16" hidden="false" customHeight="false" outlineLevel="0" collapsed="false">
      <c r="A17" s="131" t="s">
        <v>135</v>
      </c>
      <c r="C17" s="132"/>
    </row>
    <row r="18" customFormat="false" ht="16" hidden="false" customHeight="false" outlineLevel="0" collapsed="false">
      <c r="A18" s="133"/>
    </row>
    <row r="19" customFormat="false" ht="16" hidden="false" customHeight="false" outlineLevel="0" collapsed="false">
      <c r="A19" s="135" t="s">
        <v>136</v>
      </c>
      <c r="C19" s="136"/>
    </row>
    <row r="20" customFormat="false" ht="16" hidden="false" customHeight="false" outlineLevel="0" collapsed="false">
      <c r="A20" s="137" t="s">
        <v>137</v>
      </c>
      <c r="C20" s="138"/>
    </row>
    <row r="21" customFormat="false" ht="16" hidden="false" customHeight="false" outlineLevel="0" collapsed="false">
      <c r="A21" s="133"/>
    </row>
    <row r="22" customFormat="false" ht="16" hidden="false" customHeight="false" outlineLevel="0" collapsed="false">
      <c r="A22" s="135" t="s">
        <v>138</v>
      </c>
      <c r="C22" s="136"/>
    </row>
    <row r="23" customFormat="false" ht="16" hidden="false" customHeight="false" outlineLevel="0" collapsed="false">
      <c r="A23" s="139" t="s">
        <v>139</v>
      </c>
      <c r="C23" s="140"/>
    </row>
    <row r="24" customFormat="false" ht="16" hidden="false" customHeight="false" outlineLevel="0" collapsed="false">
      <c r="A24" s="137" t="s">
        <v>140</v>
      </c>
      <c r="C24" s="138"/>
    </row>
    <row r="25" customFormat="false" ht="16" hidden="false" customHeight="false" outlineLevel="0" collapsed="false">
      <c r="A25" s="133"/>
    </row>
    <row r="26" customFormat="false" ht="16" hidden="false" customHeight="false" outlineLevel="0" collapsed="false">
      <c r="A26" s="135" t="s">
        <v>141</v>
      </c>
      <c r="C26" s="136"/>
    </row>
    <row r="27" customFormat="false" ht="16" hidden="false" customHeight="false" outlineLevel="0" collapsed="false">
      <c r="A27" s="139" t="s">
        <v>142</v>
      </c>
      <c r="C27" s="140"/>
    </row>
    <row r="28" customFormat="false" ht="16" hidden="false" customHeight="false" outlineLevel="0" collapsed="false">
      <c r="A28" s="137" t="s">
        <v>143</v>
      </c>
      <c r="C28" s="138"/>
    </row>
    <row r="29" customFormat="false" ht="16" hidden="false" customHeight="false" outlineLevel="0" collapsed="false">
      <c r="A29" s="133"/>
    </row>
    <row r="30" customFormat="false" ht="16" hidden="false" customHeight="false" outlineLevel="0" collapsed="false">
      <c r="A30" s="135" t="s">
        <v>144</v>
      </c>
      <c r="C30" s="136"/>
    </row>
    <row r="31" customFormat="false" ht="16" hidden="false" customHeight="false" outlineLevel="0" collapsed="false">
      <c r="A31" s="139" t="s">
        <v>145</v>
      </c>
      <c r="C31" s="140"/>
    </row>
    <row r="32" customFormat="false" ht="16" hidden="false" customHeight="false" outlineLevel="0" collapsed="false">
      <c r="A32" s="137" t="s">
        <v>146</v>
      </c>
      <c r="C32" s="138"/>
    </row>
    <row r="33" customFormat="false" ht="16" hidden="false" customHeight="false" outlineLevel="0" collapsed="false">
      <c r="A33" s="133"/>
    </row>
    <row r="34" customFormat="false" ht="16" hidden="false" customHeight="false" outlineLevel="0" collapsed="false">
      <c r="A34" s="131" t="s">
        <v>147</v>
      </c>
      <c r="C34" s="132"/>
    </row>
    <row r="35" customFormat="false" ht="16" hidden="false" customHeight="false" outlineLevel="0" collapsed="false">
      <c r="A35" s="133"/>
    </row>
    <row r="36" customFormat="false" ht="16" hidden="false" customHeight="false" outlineLevel="0" collapsed="false">
      <c r="A36" s="131" t="s">
        <v>148</v>
      </c>
      <c r="C36" s="132"/>
    </row>
    <row r="37" customFormat="false" ht="16" hidden="false" customHeight="false" outlineLevel="0" collapsed="false">
      <c r="A37" s="133"/>
    </row>
    <row r="38" customFormat="false" ht="16" hidden="false" customHeight="false" outlineLevel="0" collapsed="false">
      <c r="A38" s="135" t="s">
        <v>149</v>
      </c>
      <c r="C38" s="136"/>
    </row>
    <row r="39" customFormat="false" ht="16" hidden="false" customHeight="false" outlineLevel="0" collapsed="false">
      <c r="A39" s="137" t="s">
        <v>150</v>
      </c>
      <c r="C39" s="138"/>
    </row>
    <row r="40" customFormat="false" ht="16" hidden="false" customHeight="false" outlineLevel="0" collapsed="false">
      <c r="A40" s="133"/>
    </row>
    <row r="41" customFormat="false" ht="16" hidden="false" customHeight="false" outlineLevel="0" collapsed="false">
      <c r="A41" s="131" t="s">
        <v>151</v>
      </c>
      <c r="C41" s="132"/>
    </row>
    <row r="42" customFormat="false" ht="16" hidden="false" customHeight="false" outlineLevel="0" collapsed="false">
      <c r="A42" s="133"/>
    </row>
    <row r="43" customFormat="false" ht="16" hidden="false" customHeight="false" outlineLevel="0" collapsed="false">
      <c r="A43" s="131" t="s">
        <v>152</v>
      </c>
      <c r="C43" s="132"/>
    </row>
    <row r="44" customFormat="false" ht="16" hidden="false" customHeight="false" outlineLevel="0" collapsed="false">
      <c r="A44" s="133"/>
    </row>
    <row r="45" customFormat="false" ht="16" hidden="false" customHeight="false" outlineLevel="0" collapsed="false">
      <c r="A45" s="131" t="s">
        <v>153</v>
      </c>
      <c r="C45" s="132"/>
    </row>
    <row r="46" customFormat="false" ht="16" hidden="false" customHeight="false" outlineLevel="0" collapsed="false">
      <c r="A46" s="133"/>
    </row>
    <row r="47" customFormat="false" ht="16" hidden="false" customHeight="false" outlineLevel="0" collapsed="false">
      <c r="A47" s="133"/>
    </row>
    <row r="48" customFormat="false" ht="16" hidden="false" customHeight="false" outlineLevel="0" collapsed="false">
      <c r="A48" s="133"/>
    </row>
    <row r="49" customFormat="false" ht="16" hidden="false" customHeight="false" outlineLevel="0" collapsed="false">
      <c r="A49" s="133"/>
    </row>
  </sheetData>
  <mergeCells count="2">
    <mergeCell ref="A1:C1"/>
    <mergeCell ref="A15:C15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9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2014-02-08T15:19:06Z</dcterms:created>
  <dc:creator/>
  <dc:description/>
  <dc:language>de-DE</dc:language>
  <cp:lastModifiedBy/>
  <dcterms:modified xsi:type="dcterms:W3CDTF">2026-06-09T21:58:39Z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